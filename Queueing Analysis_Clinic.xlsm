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Users\AParr\Documents\1.Data Files\"/>
    </mc:Choice>
  </mc:AlternateContent>
  <bookViews>
    <workbookView xWindow="0" yWindow="0" windowWidth="23040" windowHeight="9216" tabRatio="759" firstSheet="1" activeTab="1"/>
  </bookViews>
  <sheets>
    <sheet name="Module1" sheetId="4" state="veryHidden" r:id=""/>
    <sheet name="Summary" sheetId="20" r:id="rId1"/>
    <sheet name="Centralized_CheckIn" sheetId="14" r:id="rId2"/>
    <sheet name="Semi_Centralized_CheckIn" sheetId="21" r:id="rId3"/>
    <sheet name="Floor1_CheckIn" sheetId="16" r:id="rId4"/>
    <sheet name="Floor2_CheckIn" sheetId="17" r:id="rId5"/>
    <sheet name="Floor3_CheckIn" sheetId="18" r:id="rId6"/>
  </sheets>
  <functionGroups builtInGroupCount="18"/>
  <definedNames>
    <definedName name="Animation" localSheetId="3">#REF!</definedName>
    <definedName name="Animation">#REF!</definedName>
    <definedName name="Approx" localSheetId="2">#REF!</definedName>
    <definedName name="Approx" localSheetId="4">#REF!</definedName>
    <definedName name="Approx" localSheetId="5">#REF!</definedName>
    <definedName name="Approx" localSheetId="6">#REF!</definedName>
    <definedName name="Approx" localSheetId="3">#REF!</definedName>
    <definedName name="Approx">#REF!</definedName>
    <definedName name="CVa" localSheetId="3">#REF!</definedName>
    <definedName name="CVa">#REF!</definedName>
    <definedName name="CVs" localSheetId="3">#REF!</definedName>
    <definedName name="CVs">#REF!</definedName>
    <definedName name="DELETETHIS" localSheetId="4">#REF!</definedName>
    <definedName name="DELETETHIS" localSheetId="5">#REF!</definedName>
    <definedName name="DELETETHIS" localSheetId="6">#REF!</definedName>
    <definedName name="DELETETHIS" localSheetId="3">#REF!</definedName>
    <definedName name="DELETETHIS">#REF!</definedName>
    <definedName name="DELETETHIS2" localSheetId="4">#REF!</definedName>
    <definedName name="DELETETHIS2" localSheetId="5">#REF!</definedName>
    <definedName name="DELETETHIS2" localSheetId="6">#REF!</definedName>
    <definedName name="DELETETHIS2" localSheetId="3">#REF!</definedName>
    <definedName name="DELETETHIS2">#REF!</definedName>
    <definedName name="Finite" localSheetId="3">#REF!</definedName>
    <definedName name="Finite">#REF!</definedName>
    <definedName name="Infinite" localSheetId="3">#REF!</definedName>
    <definedName name="Infinite">#REF!</definedName>
    <definedName name="lambda" localSheetId="3">#REF!</definedName>
    <definedName name="lambda">#REF!</definedName>
    <definedName name="M" localSheetId="3">#REF!</definedName>
    <definedName name="M">#REF!</definedName>
    <definedName name="mu" localSheetId="3">#REF!</definedName>
    <definedName name="mu">#REF!</definedName>
    <definedName name="N" localSheetId="3">#REF!</definedName>
    <definedName name="N">#REF!</definedName>
    <definedName name="nReps" localSheetId="3">#REF!</definedName>
    <definedName name="nReps">#REF!</definedName>
    <definedName name="OutRegion" localSheetId="3">#REF!</definedName>
    <definedName name="OutRegion">#REF!</definedName>
    <definedName name="P0" localSheetId="3">#REF!</definedName>
    <definedName name="P0">#REF!</definedName>
    <definedName name="paster" localSheetId="3">#REF!</definedName>
    <definedName name="paster">#REF!</definedName>
    <definedName name="PFull" localSheetId="3">#REF!</definedName>
    <definedName name="PFull">#REF!</definedName>
    <definedName name="pn" localSheetId="3">#REF!</definedName>
    <definedName name="pn">#REF!</definedName>
    <definedName name="_xlnm.Print_Area" localSheetId="3">#REF!</definedName>
    <definedName name="_xlnm.Print_Area">#REF!</definedName>
    <definedName name="Q" localSheetId="3">#REF!</definedName>
    <definedName name="Q">#REF!</definedName>
    <definedName name="RepNo" localSheetId="3">#REF!</definedName>
    <definedName name="RepNo">#REF!</definedName>
    <definedName name="results" localSheetId="3">#REF!</definedName>
    <definedName name="results">#REF!</definedName>
    <definedName name="RHO" localSheetId="3">#REF!</definedName>
    <definedName name="RHO">#REF!</definedName>
    <definedName name="runLength" localSheetId="3">#REF!</definedName>
    <definedName name="runLength">#REF!</definedName>
    <definedName name="s" localSheetId="3">#REF!</definedName>
    <definedName name="s">#REF!</definedName>
    <definedName name="ShowRep1" localSheetId="3">#REF!</definedName>
    <definedName name="ShowRep1">#REF!</definedName>
    <definedName name="ShowRep2" localSheetId="3">#REF!</definedName>
    <definedName name="ShowRep2">#REF!</definedName>
    <definedName name="Simulation" localSheetId="2">#REF!</definedName>
    <definedName name="Simulation" localSheetId="4">#REF!</definedName>
    <definedName name="Simulation" localSheetId="5">#REF!</definedName>
    <definedName name="Simulation" localSheetId="6">#REF!</definedName>
    <definedName name="Simulation" localSheetId="3">#REF!</definedName>
    <definedName name="Simulation">#REF!</definedName>
    <definedName name="SteadyState" localSheetId="3">#REF!</definedName>
    <definedName name="SteadyState">#REF!</definedName>
    <definedName name="TheModels" localSheetId="3">#REF!</definedName>
    <definedName name="TheModels">#REF!</definedName>
    <definedName name="UsingTheModels" localSheetId="3">#REF!</definedName>
    <definedName name="UsingTheModels">#REF!</definedName>
    <definedName name="WarmUp" localSheetId="3">#REF!</definedName>
    <definedName name="WarmUp">#REF!</definedName>
  </definedNames>
  <calcPr calcId="162913"/>
</workbook>
</file>

<file path=xl/calcChain.xml><?xml version="1.0" encoding="utf-8"?>
<calcChain xmlns="http://schemas.openxmlformats.org/spreadsheetml/2006/main">
  <c r="L4" i="20" l="1"/>
  <c r="K4" i="20"/>
  <c r="J4" i="20"/>
  <c r="I4" i="20"/>
  <c r="H4" i="20"/>
  <c r="G4" i="20"/>
  <c r="F4" i="20"/>
  <c r="E4" i="20"/>
  <c r="D4" i="20"/>
  <c r="C4" i="20"/>
  <c r="M72" i="14" l="1"/>
  <c r="L72" i="14"/>
  <c r="K72" i="14"/>
  <c r="K78" i="14" s="1"/>
  <c r="J72" i="14"/>
  <c r="J78" i="14" s="1"/>
  <c r="I72" i="14"/>
  <c r="H72" i="14"/>
  <c r="G72" i="14"/>
  <c r="G78" i="14" s="1"/>
  <c r="G79" i="14" s="1"/>
  <c r="F72" i="14"/>
  <c r="E72" i="14"/>
  <c r="D72" i="14"/>
  <c r="L78" i="14"/>
  <c r="L79" i="14" s="1"/>
  <c r="H78" i="14"/>
  <c r="H79" i="14" s="1"/>
  <c r="D78" i="14"/>
  <c r="C77" i="14"/>
  <c r="M78" i="14"/>
  <c r="I78" i="14"/>
  <c r="F78" i="14"/>
  <c r="E78" i="14"/>
  <c r="M11" i="14"/>
  <c r="L11" i="14"/>
  <c r="K11" i="14"/>
  <c r="J11" i="14"/>
  <c r="I11" i="14"/>
  <c r="H11" i="14"/>
  <c r="G11" i="14"/>
  <c r="F11" i="14"/>
  <c r="E11" i="14"/>
  <c r="D11" i="14"/>
  <c r="F74" i="14"/>
  <c r="J74" i="14"/>
  <c r="D74" i="14"/>
  <c r="I74" i="14"/>
  <c r="K74" i="14"/>
  <c r="L74" i="14"/>
  <c r="M74" i="14"/>
  <c r="H74" i="14"/>
  <c r="E74" i="14"/>
  <c r="G74" i="14"/>
  <c r="D75" i="14" l="1"/>
  <c r="D76" i="14" s="1"/>
  <c r="H75" i="14"/>
  <c r="H76" i="14" s="1"/>
  <c r="E75" i="14"/>
  <c r="E76" i="14" s="1"/>
  <c r="M75" i="14"/>
  <c r="M76" i="14" s="1"/>
  <c r="G75" i="14"/>
  <c r="G76" i="14" s="1"/>
  <c r="K75" i="14"/>
  <c r="K76" i="14" s="1"/>
  <c r="L75" i="14"/>
  <c r="L76" i="14" s="1"/>
  <c r="I75" i="14"/>
  <c r="I76" i="14" s="1"/>
  <c r="F75" i="14"/>
  <c r="F76" i="14" s="1"/>
  <c r="J75" i="14"/>
  <c r="J76" i="14" s="1"/>
  <c r="K79" i="14"/>
  <c r="K77" i="14"/>
  <c r="K80" i="14"/>
  <c r="K81" i="14" s="1"/>
  <c r="K82" i="14" s="1"/>
  <c r="D80" i="14"/>
  <c r="D81" i="14" s="1"/>
  <c r="D82" i="14" s="1"/>
  <c r="E80" i="14"/>
  <c r="E81" i="14" s="1"/>
  <c r="E82" i="14" s="1"/>
  <c r="E77" i="14"/>
  <c r="E79" i="14"/>
  <c r="I80" i="14"/>
  <c r="I81" i="14" s="1"/>
  <c r="I82" i="14" s="1"/>
  <c r="I79" i="14"/>
  <c r="I77" i="14"/>
  <c r="M80" i="14"/>
  <c r="M81" i="14" s="1"/>
  <c r="M82" i="14" s="1"/>
  <c r="M77" i="14"/>
  <c r="M79" i="14"/>
  <c r="F77" i="14"/>
  <c r="F80" i="14"/>
  <c r="F81" i="14" s="1"/>
  <c r="F82" i="14" s="1"/>
  <c r="F79" i="14"/>
  <c r="J77" i="14"/>
  <c r="J80" i="14"/>
  <c r="J81" i="14" s="1"/>
  <c r="J82" i="14" s="1"/>
  <c r="J79" i="14"/>
  <c r="G80" i="14"/>
  <c r="G81" i="14" s="1"/>
  <c r="G82" i="14" s="1"/>
  <c r="H80" i="14"/>
  <c r="H81" i="14" s="1"/>
  <c r="H82" i="14" s="1"/>
  <c r="L80" i="14"/>
  <c r="L81" i="14" s="1"/>
  <c r="L82" i="14" s="1"/>
  <c r="D77" i="14"/>
  <c r="H77" i="14"/>
  <c r="L77" i="14"/>
  <c r="D79" i="14"/>
  <c r="G77" i="14"/>
  <c r="C5" i="20" l="1"/>
  <c r="L5" i="20"/>
  <c r="K5" i="20"/>
  <c r="J5" i="20"/>
  <c r="I5" i="20"/>
  <c r="H5" i="20"/>
  <c r="G5" i="20"/>
  <c r="F5" i="20"/>
  <c r="E5" i="20"/>
  <c r="D5" i="20"/>
  <c r="M15" i="18"/>
  <c r="M16" i="18" l="1"/>
  <c r="C6" i="20"/>
  <c r="B64" i="21" l="1"/>
  <c r="B63" i="21"/>
  <c r="B62" i="21"/>
  <c r="B58" i="21"/>
  <c r="B57" i="21"/>
  <c r="B56" i="21"/>
  <c r="B49" i="21"/>
  <c r="B48" i="21"/>
  <c r="B47" i="21"/>
  <c r="B40" i="21"/>
  <c r="C30" i="21"/>
  <c r="M25" i="21"/>
  <c r="M31" i="21" s="1"/>
  <c r="M32" i="21" s="1"/>
  <c r="L25" i="21"/>
  <c r="L31" i="21" s="1"/>
  <c r="K25" i="21"/>
  <c r="K31" i="21" s="1"/>
  <c r="J25" i="21"/>
  <c r="J31" i="21" s="1"/>
  <c r="I25" i="21"/>
  <c r="I31" i="21" s="1"/>
  <c r="I32" i="21" s="1"/>
  <c r="H25" i="21"/>
  <c r="H31" i="21" s="1"/>
  <c r="G25" i="21"/>
  <c r="G31" i="21" s="1"/>
  <c r="F25" i="21"/>
  <c r="F31" i="21" s="1"/>
  <c r="E25" i="21"/>
  <c r="E31" i="21" s="1"/>
  <c r="E32" i="21" s="1"/>
  <c r="D25" i="21"/>
  <c r="D31" i="21" s="1"/>
  <c r="C18" i="21"/>
  <c r="M13" i="21"/>
  <c r="M19" i="21" s="1"/>
  <c r="L13" i="21"/>
  <c r="L19" i="21" s="1"/>
  <c r="L20" i="21" s="1"/>
  <c r="K13" i="21"/>
  <c r="K19" i="21" s="1"/>
  <c r="J13" i="21"/>
  <c r="J19" i="21" s="1"/>
  <c r="J20" i="21" s="1"/>
  <c r="I13" i="21"/>
  <c r="I19" i="21" s="1"/>
  <c r="H13" i="21"/>
  <c r="H19" i="21" s="1"/>
  <c r="G13" i="21"/>
  <c r="G19" i="21" s="1"/>
  <c r="F13" i="21"/>
  <c r="F19" i="21" s="1"/>
  <c r="F20" i="21" s="1"/>
  <c r="E13" i="21"/>
  <c r="E19" i="21" s="1"/>
  <c r="D13" i="21"/>
  <c r="D19" i="21" s="1"/>
  <c r="M8" i="21"/>
  <c r="L8" i="21"/>
  <c r="K8" i="21"/>
  <c r="J8" i="21"/>
  <c r="I8" i="21"/>
  <c r="H8" i="21"/>
  <c r="G8" i="21"/>
  <c r="F8" i="21"/>
  <c r="E8" i="21"/>
  <c r="D8" i="21"/>
  <c r="L15" i="21"/>
  <c r="F27" i="21"/>
  <c r="F15" i="21"/>
  <c r="D27" i="21"/>
  <c r="L27" i="21"/>
  <c r="J15" i="21"/>
  <c r="I15" i="21"/>
  <c r="M27" i="21"/>
  <c r="K27" i="21"/>
  <c r="J27" i="21"/>
  <c r="H27" i="21"/>
  <c r="G27" i="21"/>
  <c r="E27" i="21"/>
  <c r="M15" i="21"/>
  <c r="H15" i="21"/>
  <c r="I27" i="21"/>
  <c r="D15" i="21"/>
  <c r="G15" i="21"/>
  <c r="K15" i="21"/>
  <c r="E15" i="21"/>
  <c r="H16" i="21" l="1"/>
  <c r="H17" i="21" s="1"/>
  <c r="B61" i="21"/>
  <c r="B55" i="21"/>
  <c r="B46" i="21"/>
  <c r="C40" i="21"/>
  <c r="C41" i="21" s="1"/>
  <c r="C42" i="21" s="1"/>
  <c r="C43" i="21" s="1"/>
  <c r="E43" i="21" s="1"/>
  <c r="E49" i="21" s="1"/>
  <c r="E16" i="21"/>
  <c r="E17" i="21" s="1"/>
  <c r="M16" i="21"/>
  <c r="M17" i="21" s="1"/>
  <c r="D28" i="21"/>
  <c r="D29" i="21" s="1"/>
  <c r="K16" i="21"/>
  <c r="K17" i="21" s="1"/>
  <c r="G16" i="21"/>
  <c r="G17" i="21" s="1"/>
  <c r="H28" i="21"/>
  <c r="H29" i="21" s="1"/>
  <c r="I16" i="21"/>
  <c r="I17" i="21" s="1"/>
  <c r="L28" i="21"/>
  <c r="L29" i="21" s="1"/>
  <c r="F16" i="21"/>
  <c r="F17" i="21" s="1"/>
  <c r="F18" i="21"/>
  <c r="J16" i="21"/>
  <c r="J17" i="21" s="1"/>
  <c r="J21" i="21"/>
  <c r="J22" i="21" s="1"/>
  <c r="J23" i="21" s="1"/>
  <c r="J18" i="21"/>
  <c r="F28" i="21"/>
  <c r="F29" i="21" s="1"/>
  <c r="D16" i="21"/>
  <c r="D17" i="21" s="1"/>
  <c r="D21" i="21"/>
  <c r="D22" i="21" s="1"/>
  <c r="D23" i="21" s="1"/>
  <c r="L16" i="21"/>
  <c r="L17" i="21" s="1"/>
  <c r="L21" i="21"/>
  <c r="L22" i="21" s="1"/>
  <c r="L23" i="21" s="1"/>
  <c r="J28" i="21"/>
  <c r="J29" i="21" s="1"/>
  <c r="G28" i="21"/>
  <c r="G29" i="21" s="1"/>
  <c r="K28" i="21"/>
  <c r="K29" i="21" s="1"/>
  <c r="E28" i="21"/>
  <c r="E29" i="21" s="1"/>
  <c r="E30" i="21"/>
  <c r="I28" i="21"/>
  <c r="I29" i="21" s="1"/>
  <c r="I30" i="21"/>
  <c r="M28" i="21"/>
  <c r="M29" i="21" s="1"/>
  <c r="M30" i="21"/>
  <c r="G33" i="21"/>
  <c r="G34" i="21" s="1"/>
  <c r="G35" i="21" s="1"/>
  <c r="F21" i="21"/>
  <c r="F22" i="21" s="1"/>
  <c r="F23" i="21" s="1"/>
  <c r="H18" i="21"/>
  <c r="E20" i="21"/>
  <c r="E18" i="21"/>
  <c r="E21" i="21"/>
  <c r="E22" i="21" s="1"/>
  <c r="E23" i="21" s="1"/>
  <c r="D18" i="21"/>
  <c r="L18" i="21"/>
  <c r="H20" i="21"/>
  <c r="F32" i="21"/>
  <c r="F30" i="21"/>
  <c r="F33" i="21"/>
  <c r="F34" i="21" s="1"/>
  <c r="F35" i="21" s="1"/>
  <c r="J32" i="21"/>
  <c r="J30" i="21"/>
  <c r="J33" i="21"/>
  <c r="J34" i="21" s="1"/>
  <c r="J35" i="21" s="1"/>
  <c r="E33" i="21"/>
  <c r="E34" i="21" s="1"/>
  <c r="E35" i="21" s="1"/>
  <c r="M33" i="21"/>
  <c r="M34" i="21" s="1"/>
  <c r="M35" i="21" s="1"/>
  <c r="I20" i="21"/>
  <c r="I18" i="21"/>
  <c r="I21" i="21"/>
  <c r="I22" i="21" s="1"/>
  <c r="I23" i="21" s="1"/>
  <c r="M21" i="21"/>
  <c r="M22" i="21" s="1"/>
  <c r="M23" i="21" s="1"/>
  <c r="M20" i="21"/>
  <c r="M18" i="21"/>
  <c r="K30" i="21"/>
  <c r="K32" i="21"/>
  <c r="G21" i="21"/>
  <c r="G22" i="21" s="1"/>
  <c r="G23" i="21" s="1"/>
  <c r="G20" i="21"/>
  <c r="G18" i="21"/>
  <c r="K21" i="21"/>
  <c r="K22" i="21" s="1"/>
  <c r="K23" i="21" s="1"/>
  <c r="K20" i="21"/>
  <c r="K18" i="21"/>
  <c r="H21" i="21"/>
  <c r="H22" i="21" s="1"/>
  <c r="H23" i="21" s="1"/>
  <c r="G32" i="21"/>
  <c r="G30" i="21"/>
  <c r="K33" i="21"/>
  <c r="K34" i="21" s="1"/>
  <c r="K35" i="21" s="1"/>
  <c r="D20" i="21"/>
  <c r="D33" i="21"/>
  <c r="D34" i="21" s="1"/>
  <c r="D35" i="21" s="1"/>
  <c r="D32" i="21"/>
  <c r="D30" i="21"/>
  <c r="H33" i="21"/>
  <c r="H34" i="21" s="1"/>
  <c r="H35" i="21" s="1"/>
  <c r="H32" i="21"/>
  <c r="H30" i="21"/>
  <c r="L33" i="21"/>
  <c r="L34" i="21" s="1"/>
  <c r="L35" i="21" s="1"/>
  <c r="L32" i="21"/>
  <c r="L30" i="21"/>
  <c r="I33" i="21"/>
  <c r="I34" i="21" s="1"/>
  <c r="I35" i="21" s="1"/>
  <c r="C55" i="21"/>
  <c r="C56" i="21" s="1"/>
  <c r="C57" i="21" s="1"/>
  <c r="C58" i="21" s="1"/>
  <c r="G58" i="21" s="1"/>
  <c r="G64" i="21" s="1"/>
  <c r="L8" i="20"/>
  <c r="K8" i="20"/>
  <c r="F8" i="20"/>
  <c r="E8" i="20"/>
  <c r="D8" i="20"/>
  <c r="L7" i="20"/>
  <c r="K7" i="20"/>
  <c r="J7" i="20"/>
  <c r="I7" i="20"/>
  <c r="H7" i="20"/>
  <c r="G7" i="20"/>
  <c r="F7" i="20"/>
  <c r="E7" i="20"/>
  <c r="D7" i="20"/>
  <c r="C7" i="20"/>
  <c r="L6" i="20"/>
  <c r="K6" i="20"/>
  <c r="J6" i="20"/>
  <c r="I6" i="20"/>
  <c r="H6" i="20"/>
  <c r="G6" i="20"/>
  <c r="F6" i="20"/>
  <c r="E6" i="20"/>
  <c r="D6" i="20"/>
  <c r="J42" i="21" l="1"/>
  <c r="J48" i="21" s="1"/>
  <c r="F41" i="21"/>
  <c r="F47" i="21" s="1"/>
  <c r="L42" i="21"/>
  <c r="L48" i="21" s="1"/>
  <c r="H40" i="21"/>
  <c r="H46" i="21" s="1"/>
  <c r="I41" i="21"/>
  <c r="I47" i="21" s="1"/>
  <c r="K41" i="21"/>
  <c r="K47" i="21" s="1"/>
  <c r="L41" i="21"/>
  <c r="L47" i="21" s="1"/>
  <c r="D40" i="21"/>
  <c r="D46" i="21" s="1"/>
  <c r="E42" i="21"/>
  <c r="E48" i="21" s="1"/>
  <c r="L43" i="21"/>
  <c r="L49" i="21" s="1"/>
  <c r="M40" i="21"/>
  <c r="M46" i="21" s="1"/>
  <c r="L40" i="21"/>
  <c r="L46" i="21" s="1"/>
  <c r="H43" i="21"/>
  <c r="H49" i="21" s="1"/>
  <c r="D41" i="21"/>
  <c r="D47" i="21" s="1"/>
  <c r="D42" i="21"/>
  <c r="D48" i="21" s="1"/>
  <c r="J43" i="21"/>
  <c r="J49" i="21" s="1"/>
  <c r="J40" i="21"/>
  <c r="J46" i="21" s="1"/>
  <c r="I43" i="21"/>
  <c r="I49" i="21" s="1"/>
  <c r="G42" i="21"/>
  <c r="G48" i="21" s="1"/>
  <c r="K40" i="21"/>
  <c r="M41" i="21"/>
  <c r="M47" i="21" s="1"/>
  <c r="E40" i="21"/>
  <c r="F42" i="21"/>
  <c r="F48" i="21" s="1"/>
  <c r="I42" i="21"/>
  <c r="I48" i="21" s="1"/>
  <c r="G43" i="21"/>
  <c r="G49" i="21" s="1"/>
  <c r="K42" i="21"/>
  <c r="K48" i="21" s="1"/>
  <c r="M43" i="21"/>
  <c r="M49" i="21" s="1"/>
  <c r="E41" i="21"/>
  <c r="E47" i="21" s="1"/>
  <c r="H41" i="21"/>
  <c r="H47" i="21" s="1"/>
  <c r="H42" i="21"/>
  <c r="H48" i="21" s="1"/>
  <c r="D43" i="21"/>
  <c r="D49" i="21" s="1"/>
  <c r="J41" i="21"/>
  <c r="J47" i="21" s="1"/>
  <c r="F43" i="21"/>
  <c r="F49" i="21" s="1"/>
  <c r="F40" i="21"/>
  <c r="F46" i="21" s="1"/>
  <c r="I40" i="21"/>
  <c r="I46" i="21" s="1"/>
  <c r="G40" i="21"/>
  <c r="G41" i="21"/>
  <c r="G47" i="21" s="1"/>
  <c r="K43" i="21"/>
  <c r="K49" i="21" s="1"/>
  <c r="M42" i="21"/>
  <c r="M48" i="21" s="1"/>
  <c r="I55" i="21"/>
  <c r="I61" i="21" s="1"/>
  <c r="M57" i="21"/>
  <c r="M63" i="21" s="1"/>
  <c r="I58" i="21"/>
  <c r="I64" i="21" s="1"/>
  <c r="E57" i="21"/>
  <c r="E63" i="21" s="1"/>
  <c r="G55" i="21"/>
  <c r="G61" i="21" s="1"/>
  <c r="J56" i="21"/>
  <c r="J62" i="21" s="1"/>
  <c r="F56" i="21"/>
  <c r="F62" i="21" s="1"/>
  <c r="L56" i="21"/>
  <c r="L62" i="21" s="1"/>
  <c r="D57" i="21"/>
  <c r="D63" i="21" s="1"/>
  <c r="M56" i="21"/>
  <c r="M62" i="21" s="1"/>
  <c r="K56" i="21"/>
  <c r="K62" i="21" s="1"/>
  <c r="G56" i="21"/>
  <c r="G62" i="21" s="1"/>
  <c r="J58" i="21"/>
  <c r="J64" i="21" s="1"/>
  <c r="F58" i="21"/>
  <c r="F64" i="21" s="1"/>
  <c r="L58" i="21"/>
  <c r="L64" i="21" s="1"/>
  <c r="D56" i="21"/>
  <c r="D62" i="21" s="1"/>
  <c r="K57" i="21"/>
  <c r="K63" i="21" s="1"/>
  <c r="E56" i="21"/>
  <c r="E62" i="21" s="1"/>
  <c r="H58" i="21"/>
  <c r="H64" i="21" s="1"/>
  <c r="M58" i="21"/>
  <c r="M64" i="21" s="1"/>
  <c r="I56" i="21"/>
  <c r="I62" i="21" s="1"/>
  <c r="E58" i="21"/>
  <c r="E64" i="21" s="1"/>
  <c r="K58" i="21"/>
  <c r="K64" i="21" s="1"/>
  <c r="G57" i="21"/>
  <c r="G63" i="21" s="1"/>
  <c r="J55" i="21"/>
  <c r="F55" i="21"/>
  <c r="L55" i="21"/>
  <c r="H55" i="21"/>
  <c r="D58" i="21"/>
  <c r="D64" i="21" s="1"/>
  <c r="M55" i="21"/>
  <c r="I57" i="21"/>
  <c r="I63" i="21" s="1"/>
  <c r="E55" i="21"/>
  <c r="K55" i="21"/>
  <c r="J57" i="21"/>
  <c r="J63" i="21" s="1"/>
  <c r="F57" i="21"/>
  <c r="F63" i="21" s="1"/>
  <c r="L57" i="21"/>
  <c r="L63" i="21" s="1"/>
  <c r="H56" i="21"/>
  <c r="H62" i="21" s="1"/>
  <c r="H57" i="21"/>
  <c r="H63" i="21" s="1"/>
  <c r="D55" i="21"/>
  <c r="D19" i="14"/>
  <c r="D31" i="14"/>
  <c r="L15" i="14"/>
  <c r="D44" i="21" l="1"/>
  <c r="H44" i="21"/>
  <c r="H50" i="21"/>
  <c r="H51" i="21" s="1"/>
  <c r="L50" i="21"/>
  <c r="L52" i="21" s="1"/>
  <c r="M44" i="21"/>
  <c r="G44" i="21"/>
  <c r="L44" i="21"/>
  <c r="M50" i="21"/>
  <c r="M51" i="21" s="1"/>
  <c r="F50" i="21"/>
  <c r="F51" i="21" s="1"/>
  <c r="J50" i="21"/>
  <c r="J51" i="21" s="1"/>
  <c r="G46" i="21"/>
  <c r="G50" i="21" s="1"/>
  <c r="G52" i="21" s="1"/>
  <c r="F44" i="21"/>
  <c r="E44" i="21"/>
  <c r="I50" i="21"/>
  <c r="I51" i="21" s="1"/>
  <c r="K44" i="21"/>
  <c r="K46" i="21"/>
  <c r="K50" i="21" s="1"/>
  <c r="K52" i="21" s="1"/>
  <c r="I44" i="21"/>
  <c r="E46" i="21"/>
  <c r="E50" i="21" s="1"/>
  <c r="E51" i="21" s="1"/>
  <c r="D50" i="21"/>
  <c r="J44" i="21"/>
  <c r="G59" i="21"/>
  <c r="I65" i="21"/>
  <c r="I67" i="21" s="1"/>
  <c r="D61" i="21"/>
  <c r="D65" i="21" s="1"/>
  <c r="D67" i="21" s="1"/>
  <c r="D59" i="21"/>
  <c r="K59" i="21"/>
  <c r="K61" i="21"/>
  <c r="K65" i="21" s="1"/>
  <c r="K67" i="21" s="1"/>
  <c r="J61" i="21"/>
  <c r="J65" i="21" s="1"/>
  <c r="J67" i="21" s="1"/>
  <c r="J59" i="21"/>
  <c r="E59" i="21"/>
  <c r="E61" i="21"/>
  <c r="E65" i="21" s="1"/>
  <c r="E67" i="21" s="1"/>
  <c r="I59" i="21"/>
  <c r="H61" i="21"/>
  <c r="H65" i="21" s="1"/>
  <c r="H67" i="21" s="1"/>
  <c r="H59" i="21"/>
  <c r="F61" i="21"/>
  <c r="F65" i="21" s="1"/>
  <c r="F67" i="21" s="1"/>
  <c r="F59" i="21"/>
  <c r="M59" i="21"/>
  <c r="M61" i="21"/>
  <c r="M65" i="21" s="1"/>
  <c r="M67" i="21" s="1"/>
  <c r="G65" i="21"/>
  <c r="G67" i="21" s="1"/>
  <c r="L61" i="21"/>
  <c r="L65" i="21" s="1"/>
  <c r="L67" i="21" s="1"/>
  <c r="L59" i="21"/>
  <c r="L16" i="14"/>
  <c r="B65" i="18"/>
  <c r="B64" i="18"/>
  <c r="B62" i="18" s="1"/>
  <c r="B63" i="18"/>
  <c r="B59" i="18"/>
  <c r="B58" i="18"/>
  <c r="B57" i="18"/>
  <c r="B50" i="18"/>
  <c r="B49" i="18"/>
  <c r="B48" i="18"/>
  <c r="B47" i="18" s="1"/>
  <c r="B41" i="18"/>
  <c r="C30" i="18"/>
  <c r="M25" i="18"/>
  <c r="M31" i="18" s="1"/>
  <c r="M32" i="18" s="1"/>
  <c r="L25" i="18"/>
  <c r="L31" i="18" s="1"/>
  <c r="K25" i="18"/>
  <c r="K31" i="18" s="1"/>
  <c r="J25" i="18"/>
  <c r="J31" i="18" s="1"/>
  <c r="I25" i="18"/>
  <c r="I31" i="18" s="1"/>
  <c r="I32" i="18" s="1"/>
  <c r="H25" i="18"/>
  <c r="H31" i="18" s="1"/>
  <c r="G25" i="18"/>
  <c r="G31" i="18" s="1"/>
  <c r="F25" i="18"/>
  <c r="F31" i="18" s="1"/>
  <c r="E25" i="18"/>
  <c r="E31" i="18" s="1"/>
  <c r="E32" i="18" s="1"/>
  <c r="D25" i="18"/>
  <c r="D31" i="18" s="1"/>
  <c r="L19" i="18"/>
  <c r="L20" i="18" s="1"/>
  <c r="H19" i="18"/>
  <c r="H20" i="18" s="1"/>
  <c r="D19" i="18"/>
  <c r="C41" i="18" s="1"/>
  <c r="C42" i="18" s="1"/>
  <c r="C18" i="18"/>
  <c r="M13" i="18"/>
  <c r="M19" i="18" s="1"/>
  <c r="L13" i="18"/>
  <c r="K13" i="18"/>
  <c r="K19" i="18" s="1"/>
  <c r="J13" i="18"/>
  <c r="J19" i="18" s="1"/>
  <c r="I13" i="18"/>
  <c r="I19" i="18" s="1"/>
  <c r="H13" i="18"/>
  <c r="G13" i="18"/>
  <c r="G19" i="18" s="1"/>
  <c r="F13" i="18"/>
  <c r="F19" i="18" s="1"/>
  <c r="F20" i="18" s="1"/>
  <c r="E13" i="18"/>
  <c r="E19" i="18" s="1"/>
  <c r="D13" i="18"/>
  <c r="M8" i="18"/>
  <c r="L8" i="18"/>
  <c r="K8" i="18"/>
  <c r="J8" i="20" s="1"/>
  <c r="J8" i="18"/>
  <c r="I8" i="20" s="1"/>
  <c r="I8" i="18"/>
  <c r="H8" i="20" s="1"/>
  <c r="H8" i="18"/>
  <c r="G8" i="20" s="1"/>
  <c r="G8" i="18"/>
  <c r="F8" i="18"/>
  <c r="E8" i="18"/>
  <c r="D8" i="18"/>
  <c r="C8" i="20" s="1"/>
  <c r="B65" i="17"/>
  <c r="B62" i="17" s="1"/>
  <c r="B64" i="17"/>
  <c r="B63" i="17"/>
  <c r="B59" i="17"/>
  <c r="B58" i="17"/>
  <c r="B57" i="17"/>
  <c r="B50" i="17"/>
  <c r="B49" i="17"/>
  <c r="B48" i="17"/>
  <c r="B41" i="17"/>
  <c r="L31" i="17"/>
  <c r="C30" i="17"/>
  <c r="M25" i="17"/>
  <c r="M31" i="17" s="1"/>
  <c r="M32" i="17" s="1"/>
  <c r="L25" i="17"/>
  <c r="K25" i="17"/>
  <c r="K31" i="17" s="1"/>
  <c r="J25" i="17"/>
  <c r="J31" i="17" s="1"/>
  <c r="J32" i="17" s="1"/>
  <c r="I25" i="17"/>
  <c r="I31" i="17" s="1"/>
  <c r="I32" i="17" s="1"/>
  <c r="H25" i="17"/>
  <c r="H31" i="17" s="1"/>
  <c r="G25" i="17"/>
  <c r="G31" i="17" s="1"/>
  <c r="F25" i="17"/>
  <c r="F31" i="17" s="1"/>
  <c r="E25" i="17"/>
  <c r="E31" i="17" s="1"/>
  <c r="E32" i="17" s="1"/>
  <c r="D25" i="17"/>
  <c r="D31" i="17" s="1"/>
  <c r="F19" i="17"/>
  <c r="F20" i="17" s="1"/>
  <c r="C18" i="17"/>
  <c r="M13" i="17"/>
  <c r="M19" i="17" s="1"/>
  <c r="L13" i="17"/>
  <c r="L19" i="17" s="1"/>
  <c r="K13" i="17"/>
  <c r="K19" i="17" s="1"/>
  <c r="K20" i="17" s="1"/>
  <c r="J13" i="17"/>
  <c r="J19" i="17" s="1"/>
  <c r="J20" i="17" s="1"/>
  <c r="I13" i="17"/>
  <c r="I19" i="17" s="1"/>
  <c r="H13" i="17"/>
  <c r="H19" i="17" s="1"/>
  <c r="G13" i="17"/>
  <c r="G19" i="17" s="1"/>
  <c r="F13" i="17"/>
  <c r="E13" i="17"/>
  <c r="E19" i="17" s="1"/>
  <c r="D13" i="17"/>
  <c r="D19" i="17" s="1"/>
  <c r="M8" i="17"/>
  <c r="L8" i="17"/>
  <c r="K8" i="17"/>
  <c r="J8" i="17"/>
  <c r="I8" i="17"/>
  <c r="H8" i="17"/>
  <c r="G8" i="17"/>
  <c r="F8" i="17"/>
  <c r="E8" i="17"/>
  <c r="D8" i="17"/>
  <c r="B65" i="16"/>
  <c r="B64" i="16"/>
  <c r="B63" i="16"/>
  <c r="B62" i="16"/>
  <c r="B59" i="16"/>
  <c r="B58" i="16"/>
  <c r="B57" i="16"/>
  <c r="B56" i="16"/>
  <c r="B50" i="16"/>
  <c r="B49" i="16"/>
  <c r="B48" i="16"/>
  <c r="B47" i="16"/>
  <c r="B41" i="16"/>
  <c r="H31" i="16"/>
  <c r="H32" i="16" s="1"/>
  <c r="D31" i="16"/>
  <c r="C30" i="16"/>
  <c r="M25" i="16"/>
  <c r="M31" i="16" s="1"/>
  <c r="M32" i="16" s="1"/>
  <c r="L25" i="16"/>
  <c r="L31" i="16" s="1"/>
  <c r="K25" i="16"/>
  <c r="K31" i="16" s="1"/>
  <c r="J25" i="16"/>
  <c r="J31" i="16" s="1"/>
  <c r="I25" i="16"/>
  <c r="I31" i="16" s="1"/>
  <c r="H25" i="16"/>
  <c r="G25" i="16"/>
  <c r="G31" i="16" s="1"/>
  <c r="F25" i="16"/>
  <c r="F31" i="16" s="1"/>
  <c r="F32" i="16" s="1"/>
  <c r="E25" i="16"/>
  <c r="E31" i="16" s="1"/>
  <c r="E32" i="16" s="1"/>
  <c r="D25" i="16"/>
  <c r="H19" i="16"/>
  <c r="D19" i="16"/>
  <c r="C18" i="16"/>
  <c r="M13" i="16"/>
  <c r="M19" i="16" s="1"/>
  <c r="L13" i="16"/>
  <c r="L19" i="16" s="1"/>
  <c r="L20" i="16" s="1"/>
  <c r="K13" i="16"/>
  <c r="K19" i="16" s="1"/>
  <c r="J13" i="16"/>
  <c r="J19" i="16" s="1"/>
  <c r="I13" i="16"/>
  <c r="I19" i="16" s="1"/>
  <c r="H13" i="16"/>
  <c r="G13" i="16"/>
  <c r="G19" i="16" s="1"/>
  <c r="F13" i="16"/>
  <c r="F19" i="16" s="1"/>
  <c r="F20" i="16" s="1"/>
  <c r="E13" i="16"/>
  <c r="E19" i="16" s="1"/>
  <c r="E20" i="16" s="1"/>
  <c r="D13" i="16"/>
  <c r="M8" i="16"/>
  <c r="L8" i="16"/>
  <c r="K8" i="16"/>
  <c r="J8" i="16"/>
  <c r="I8" i="16"/>
  <c r="H8" i="16"/>
  <c r="G8" i="16"/>
  <c r="F8" i="16"/>
  <c r="E8" i="16"/>
  <c r="D8" i="16"/>
  <c r="B65" i="14"/>
  <c r="B64" i="14"/>
  <c r="B63" i="14"/>
  <c r="B59" i="14"/>
  <c r="B58" i="14"/>
  <c r="B57" i="14"/>
  <c r="B50" i="14"/>
  <c r="B49" i="14"/>
  <c r="B48" i="14"/>
  <c r="B41" i="14"/>
  <c r="D32" i="14"/>
  <c r="J31" i="14"/>
  <c r="F31" i="14"/>
  <c r="C30" i="14"/>
  <c r="M25" i="14"/>
  <c r="M31" i="14" s="1"/>
  <c r="L25" i="14"/>
  <c r="L31" i="14" s="1"/>
  <c r="K25" i="14"/>
  <c r="K31" i="14" s="1"/>
  <c r="J25" i="14"/>
  <c r="I25" i="14"/>
  <c r="I31" i="14" s="1"/>
  <c r="H25" i="14"/>
  <c r="H31" i="14" s="1"/>
  <c r="G25" i="14"/>
  <c r="G31" i="14" s="1"/>
  <c r="F25" i="14"/>
  <c r="E25" i="14"/>
  <c r="E31" i="14" s="1"/>
  <c r="D25" i="14"/>
  <c r="M19" i="14"/>
  <c r="I19" i="14"/>
  <c r="E19" i="14"/>
  <c r="C18" i="14"/>
  <c r="M13" i="14"/>
  <c r="L13" i="14"/>
  <c r="L19" i="14" s="1"/>
  <c r="K13" i="14"/>
  <c r="K19" i="14" s="1"/>
  <c r="K20" i="14" s="1"/>
  <c r="J13" i="14"/>
  <c r="J19" i="14" s="1"/>
  <c r="I13" i="14"/>
  <c r="H13" i="14"/>
  <c r="H19" i="14" s="1"/>
  <c r="G13" i="14"/>
  <c r="G19" i="14" s="1"/>
  <c r="F13" i="14"/>
  <c r="F19" i="14" s="1"/>
  <c r="E13" i="14"/>
  <c r="D13" i="14"/>
  <c r="M8" i="14"/>
  <c r="L3" i="20" s="1"/>
  <c r="L8" i="14"/>
  <c r="K3" i="20" s="1"/>
  <c r="K8" i="14"/>
  <c r="J3" i="20" s="1"/>
  <c r="J8" i="14"/>
  <c r="I3" i="20" s="1"/>
  <c r="I8" i="14"/>
  <c r="H3" i="20" s="1"/>
  <c r="H8" i="14"/>
  <c r="G3" i="20" s="1"/>
  <c r="G8" i="14"/>
  <c r="F3" i="20" s="1"/>
  <c r="F8" i="14"/>
  <c r="E3" i="20" s="1"/>
  <c r="E8" i="14"/>
  <c r="D3" i="20" s="1"/>
  <c r="D8" i="14"/>
  <c r="C3" i="20" s="1"/>
  <c r="J27" i="18"/>
  <c r="L15" i="17"/>
  <c r="H27" i="16"/>
  <c r="H27" i="17"/>
  <c r="H15" i="14"/>
  <c r="J27" i="17"/>
  <c r="M27" i="16"/>
  <c r="K15" i="18"/>
  <c r="J27" i="14"/>
  <c r="H15" i="18"/>
  <c r="E27" i="18"/>
  <c r="G15" i="17"/>
  <c r="K27" i="16"/>
  <c r="F27" i="18"/>
  <c r="I27" i="14"/>
  <c r="I27" i="17"/>
  <c r="F27" i="16"/>
  <c r="I27" i="18"/>
  <c r="D15" i="14"/>
  <c r="E27" i="16"/>
  <c r="F15" i="17"/>
  <c r="D15" i="16"/>
  <c r="M15" i="17"/>
  <c r="D27" i="16"/>
  <c r="I15" i="14"/>
  <c r="H15" i="16"/>
  <c r="K27" i="14"/>
  <c r="G27" i="16"/>
  <c r="L27" i="17"/>
  <c r="L27" i="18"/>
  <c r="G27" i="17"/>
  <c r="J27" i="16"/>
  <c r="I27" i="16"/>
  <c r="J15" i="16"/>
  <c r="H27" i="18"/>
  <c r="G27" i="18"/>
  <c r="M27" i="17"/>
  <c r="M15" i="16"/>
  <c r="F27" i="14"/>
  <c r="D15" i="18"/>
  <c r="D27" i="14"/>
  <c r="F27" i="17"/>
  <c r="K27" i="17"/>
  <c r="I15" i="17"/>
  <c r="G15" i="16"/>
  <c r="K27" i="18"/>
  <c r="G27" i="14"/>
  <c r="M27" i="14"/>
  <c r="M15" i="14"/>
  <c r="E27" i="14"/>
  <c r="J15" i="18"/>
  <c r="H15" i="17"/>
  <c r="L15" i="16"/>
  <c r="K15" i="17"/>
  <c r="I15" i="18"/>
  <c r="E15" i="16"/>
  <c r="H27" i="14"/>
  <c r="J15" i="17"/>
  <c r="I15" i="16"/>
  <c r="J15" i="14"/>
  <c r="F15" i="16"/>
  <c r="F15" i="14"/>
  <c r="G15" i="14"/>
  <c r="L15" i="18"/>
  <c r="D27" i="18"/>
  <c r="L27" i="14"/>
  <c r="K15" i="14"/>
  <c r="M27" i="18"/>
  <c r="E27" i="17"/>
  <c r="K15" i="16"/>
  <c r="E15" i="14"/>
  <c r="E15" i="17"/>
  <c r="E15" i="18"/>
  <c r="L27" i="16"/>
  <c r="G15" i="18"/>
  <c r="F15" i="18"/>
  <c r="D15" i="17"/>
  <c r="D27" i="17"/>
  <c r="I52" i="21" l="1"/>
  <c r="E52" i="21"/>
  <c r="M28" i="18"/>
  <c r="M29" i="18" s="1"/>
  <c r="C43" i="18"/>
  <c r="I43" i="18" s="1"/>
  <c r="I49" i="18" s="1"/>
  <c r="M42" i="18"/>
  <c r="M48" i="18" s="1"/>
  <c r="M41" i="18"/>
  <c r="M47" i="18" s="1"/>
  <c r="B56" i="18"/>
  <c r="B47" i="17"/>
  <c r="B62" i="14"/>
  <c r="B56" i="17"/>
  <c r="F52" i="21"/>
  <c r="L51" i="21"/>
  <c r="M52" i="21"/>
  <c r="K51" i="21"/>
  <c r="J52" i="21"/>
  <c r="H52" i="21"/>
  <c r="G51" i="21"/>
  <c r="D38" i="21"/>
  <c r="I66" i="21"/>
  <c r="I38" i="21"/>
  <c r="D51" i="21"/>
  <c r="D52" i="21"/>
  <c r="D53" i="21"/>
  <c r="I53" i="21"/>
  <c r="F66" i="21"/>
  <c r="L66" i="21"/>
  <c r="J66" i="21"/>
  <c r="D66" i="21"/>
  <c r="M66" i="21"/>
  <c r="G66" i="21"/>
  <c r="H66" i="21"/>
  <c r="E66" i="21"/>
  <c r="K66" i="21"/>
  <c r="M16" i="14"/>
  <c r="M17" i="14" s="1"/>
  <c r="M28" i="14"/>
  <c r="M29" i="14" s="1"/>
  <c r="K16" i="16"/>
  <c r="K17" i="16" s="1"/>
  <c r="L16" i="16"/>
  <c r="L17" i="16" s="1"/>
  <c r="G42" i="18"/>
  <c r="G48" i="18" s="1"/>
  <c r="G41" i="18"/>
  <c r="G16" i="18"/>
  <c r="G17" i="18" s="1"/>
  <c r="I42" i="18"/>
  <c r="I48" i="18" s="1"/>
  <c r="I41" i="18"/>
  <c r="I16" i="18"/>
  <c r="I17" i="18" s="1"/>
  <c r="K42" i="18"/>
  <c r="K48" i="18" s="1"/>
  <c r="K16" i="18"/>
  <c r="K17" i="18" s="1"/>
  <c r="K41" i="18"/>
  <c r="H28" i="18"/>
  <c r="H29" i="18" s="1"/>
  <c r="E42" i="18"/>
  <c r="E48" i="18" s="1"/>
  <c r="E41" i="18"/>
  <c r="E43" i="18"/>
  <c r="E49" i="18" s="1"/>
  <c r="E16" i="18"/>
  <c r="E17" i="18" s="1"/>
  <c r="D28" i="18"/>
  <c r="D29" i="18" s="1"/>
  <c r="L28" i="18"/>
  <c r="L29" i="18" s="1"/>
  <c r="D43" i="18"/>
  <c r="D49" i="18" s="1"/>
  <c r="D41" i="18"/>
  <c r="D16" i="18"/>
  <c r="D17" i="18" s="1"/>
  <c r="D42" i="18"/>
  <c r="D48" i="18" s="1"/>
  <c r="H43" i="18"/>
  <c r="H49" i="18" s="1"/>
  <c r="H41" i="18"/>
  <c r="H16" i="18"/>
  <c r="H17" i="18" s="1"/>
  <c r="H42" i="18"/>
  <c r="H48" i="18" s="1"/>
  <c r="L41" i="18"/>
  <c r="L16" i="18"/>
  <c r="L17" i="18" s="1"/>
  <c r="L42" i="18"/>
  <c r="L48" i="18" s="1"/>
  <c r="L21" i="18"/>
  <c r="L22" i="18" s="1"/>
  <c r="L23" i="18" s="1"/>
  <c r="F28" i="18"/>
  <c r="F29" i="18" s="1"/>
  <c r="F41" i="18"/>
  <c r="F42" i="18"/>
  <c r="F48" i="18" s="1"/>
  <c r="F16" i="18"/>
  <c r="F17" i="18" s="1"/>
  <c r="F18" i="18"/>
  <c r="J41" i="18"/>
  <c r="J42" i="18"/>
  <c r="J48" i="18" s="1"/>
  <c r="J16" i="18"/>
  <c r="J17" i="18" s="1"/>
  <c r="J18" i="18"/>
  <c r="J28" i="18"/>
  <c r="J29" i="18" s="1"/>
  <c r="G28" i="18"/>
  <c r="G29" i="18" s="1"/>
  <c r="K28" i="18"/>
  <c r="K29" i="18" s="1"/>
  <c r="K33" i="18"/>
  <c r="K34" i="18" s="1"/>
  <c r="K35" i="18" s="1"/>
  <c r="E28" i="18"/>
  <c r="E29" i="18" s="1"/>
  <c r="E30" i="18"/>
  <c r="I28" i="18"/>
  <c r="I29" i="18" s="1"/>
  <c r="I33" i="18"/>
  <c r="I34" i="18" s="1"/>
  <c r="I35" i="18" s="1"/>
  <c r="I30" i="18"/>
  <c r="M30" i="18"/>
  <c r="G20" i="18"/>
  <c r="G18" i="18"/>
  <c r="G21" i="18"/>
  <c r="G22" i="18" s="1"/>
  <c r="G23" i="18" s="1"/>
  <c r="K20" i="18"/>
  <c r="K18" i="18"/>
  <c r="K21" i="18"/>
  <c r="K22" i="18" s="1"/>
  <c r="K23" i="18" s="1"/>
  <c r="D21" i="18"/>
  <c r="D22" i="18" s="1"/>
  <c r="D23" i="18" s="1"/>
  <c r="D33" i="18"/>
  <c r="D34" i="18" s="1"/>
  <c r="D35" i="18" s="1"/>
  <c r="D32" i="18"/>
  <c r="D30" i="18"/>
  <c r="H33" i="18"/>
  <c r="H34" i="18" s="1"/>
  <c r="H35" i="18" s="1"/>
  <c r="H32" i="18"/>
  <c r="H30" i="18"/>
  <c r="L33" i="18"/>
  <c r="L34" i="18" s="1"/>
  <c r="L35" i="18" s="1"/>
  <c r="L32" i="18"/>
  <c r="L30" i="18"/>
  <c r="E33" i="18"/>
  <c r="E34" i="18" s="1"/>
  <c r="E35" i="18" s="1"/>
  <c r="M33" i="18"/>
  <c r="M34" i="18" s="1"/>
  <c r="M35" i="18" s="1"/>
  <c r="H18" i="18"/>
  <c r="F21" i="18"/>
  <c r="F22" i="18" s="1"/>
  <c r="F23" i="18" s="1"/>
  <c r="D20" i="18"/>
  <c r="H21" i="18"/>
  <c r="H22" i="18" s="1"/>
  <c r="H23" i="18" s="1"/>
  <c r="G32" i="18"/>
  <c r="G30" i="18"/>
  <c r="G33" i="18"/>
  <c r="G34" i="18" s="1"/>
  <c r="G35" i="18" s="1"/>
  <c r="E21" i="18"/>
  <c r="E22" i="18" s="1"/>
  <c r="E23" i="18" s="1"/>
  <c r="E20" i="18"/>
  <c r="E18" i="18"/>
  <c r="I21" i="18"/>
  <c r="I22" i="18" s="1"/>
  <c r="I23" i="18" s="1"/>
  <c r="I20" i="18"/>
  <c r="I18" i="18"/>
  <c r="M21" i="18"/>
  <c r="M22" i="18" s="1"/>
  <c r="M23" i="18" s="1"/>
  <c r="M20" i="18"/>
  <c r="M18" i="18"/>
  <c r="D18" i="18"/>
  <c r="L18" i="18"/>
  <c r="J21" i="18"/>
  <c r="J22" i="18" s="1"/>
  <c r="J23" i="18" s="1"/>
  <c r="J20" i="18"/>
  <c r="K30" i="18"/>
  <c r="F32" i="18"/>
  <c r="F30" i="18"/>
  <c r="F33" i="18"/>
  <c r="F34" i="18" s="1"/>
  <c r="F35" i="18" s="1"/>
  <c r="J32" i="18"/>
  <c r="J30" i="18"/>
  <c r="J33" i="18"/>
  <c r="J34" i="18" s="1"/>
  <c r="J35" i="18" s="1"/>
  <c r="K32" i="18"/>
  <c r="C56" i="18"/>
  <c r="C57" i="18" s="1"/>
  <c r="C56" i="17"/>
  <c r="C57" i="17" s="1"/>
  <c r="C58" i="17" s="1"/>
  <c r="C59" i="17" s="1"/>
  <c r="G59" i="17" s="1"/>
  <c r="G65" i="17" s="1"/>
  <c r="I16" i="17"/>
  <c r="I17" i="17" s="1"/>
  <c r="I21" i="17"/>
  <c r="I22" i="17" s="1"/>
  <c r="I23" i="17" s="1"/>
  <c r="L28" i="17"/>
  <c r="L29" i="17" s="1"/>
  <c r="J16" i="17"/>
  <c r="J17" i="17" s="1"/>
  <c r="J18" i="17"/>
  <c r="E28" i="17"/>
  <c r="E29" i="17" s="1"/>
  <c r="E30" i="17"/>
  <c r="E33" i="17"/>
  <c r="E34" i="17" s="1"/>
  <c r="E35" i="17" s="1"/>
  <c r="E16" i="17"/>
  <c r="E17" i="17" s="1"/>
  <c r="M16" i="17"/>
  <c r="M17" i="17" s="1"/>
  <c r="F30" i="17"/>
  <c r="F28" i="17"/>
  <c r="F29" i="17" s="1"/>
  <c r="F16" i="17"/>
  <c r="F17" i="17" s="1"/>
  <c r="F18" i="17"/>
  <c r="J28" i="17"/>
  <c r="J29" i="17" s="1"/>
  <c r="G16" i="17"/>
  <c r="G17" i="17" s="1"/>
  <c r="K16" i="17"/>
  <c r="K17" i="17" s="1"/>
  <c r="K18" i="17"/>
  <c r="H28" i="17"/>
  <c r="H29" i="17" s="1"/>
  <c r="M28" i="17"/>
  <c r="M29" i="17" s="1"/>
  <c r="M56" i="17"/>
  <c r="M30" i="17"/>
  <c r="M33" i="17"/>
  <c r="M34" i="17" s="1"/>
  <c r="M35" i="17" s="1"/>
  <c r="D16" i="17"/>
  <c r="D17" i="17" s="1"/>
  <c r="H16" i="17"/>
  <c r="H17" i="17" s="1"/>
  <c r="L16" i="17"/>
  <c r="L17" i="17" s="1"/>
  <c r="D28" i="17"/>
  <c r="D29" i="17" s="1"/>
  <c r="D33" i="17"/>
  <c r="D34" i="17" s="1"/>
  <c r="D35" i="17" s="1"/>
  <c r="I28" i="17"/>
  <c r="I29" i="17" s="1"/>
  <c r="I30" i="17"/>
  <c r="I33" i="17"/>
  <c r="I34" i="17" s="1"/>
  <c r="I35" i="17" s="1"/>
  <c r="G28" i="17"/>
  <c r="G29" i="17" s="1"/>
  <c r="K28" i="17"/>
  <c r="K29" i="17" s="1"/>
  <c r="K30" i="17"/>
  <c r="G33" i="17"/>
  <c r="G34" i="17" s="1"/>
  <c r="G35" i="17" s="1"/>
  <c r="G30" i="17"/>
  <c r="G32" i="17"/>
  <c r="D20" i="17"/>
  <c r="D18" i="17"/>
  <c r="D21" i="17"/>
  <c r="D22" i="17" s="1"/>
  <c r="D23" i="17" s="1"/>
  <c r="H20" i="17"/>
  <c r="H18" i="17"/>
  <c r="H21" i="17"/>
  <c r="H22" i="17" s="1"/>
  <c r="H23" i="17" s="1"/>
  <c r="L20" i="17"/>
  <c r="L18" i="17"/>
  <c r="L21" i="17"/>
  <c r="L22" i="17" s="1"/>
  <c r="L23" i="17" s="1"/>
  <c r="F21" i="17"/>
  <c r="F22" i="17" s="1"/>
  <c r="F23" i="17" s="1"/>
  <c r="H32" i="17"/>
  <c r="H30" i="17"/>
  <c r="M21" i="17"/>
  <c r="M22" i="17" s="1"/>
  <c r="M23" i="17" s="1"/>
  <c r="M20" i="17"/>
  <c r="M18" i="17"/>
  <c r="C41" i="17"/>
  <c r="C42" i="17" s="1"/>
  <c r="C43" i="17" s="1"/>
  <c r="C44" i="17" s="1"/>
  <c r="J44" i="17" s="1"/>
  <c r="J50" i="17" s="1"/>
  <c r="I20" i="17"/>
  <c r="I18" i="17"/>
  <c r="K32" i="17"/>
  <c r="K33" i="17"/>
  <c r="K34" i="17" s="1"/>
  <c r="K35" i="17" s="1"/>
  <c r="L32" i="17"/>
  <c r="L30" i="17"/>
  <c r="L33" i="17"/>
  <c r="L34" i="17" s="1"/>
  <c r="L35" i="17" s="1"/>
  <c r="H33" i="17"/>
  <c r="H34" i="17" s="1"/>
  <c r="H35" i="17" s="1"/>
  <c r="G21" i="17"/>
  <c r="G22" i="17" s="1"/>
  <c r="G23" i="17" s="1"/>
  <c r="K21" i="17"/>
  <c r="K22" i="17" s="1"/>
  <c r="K23" i="17" s="1"/>
  <c r="G18" i="17"/>
  <c r="E20" i="17"/>
  <c r="E18" i="17"/>
  <c r="J21" i="17"/>
  <c r="J22" i="17" s="1"/>
  <c r="J23" i="17" s="1"/>
  <c r="G20" i="17"/>
  <c r="E21" i="17"/>
  <c r="E22" i="17" s="1"/>
  <c r="E23" i="17" s="1"/>
  <c r="D32" i="17"/>
  <c r="D30" i="17"/>
  <c r="F33" i="17"/>
  <c r="F34" i="17" s="1"/>
  <c r="F35" i="17" s="1"/>
  <c r="J33" i="17"/>
  <c r="J34" i="17" s="1"/>
  <c r="J35" i="17" s="1"/>
  <c r="J30" i="17"/>
  <c r="F32" i="17"/>
  <c r="E16" i="16"/>
  <c r="E17" i="16" s="1"/>
  <c r="K28" i="16"/>
  <c r="K29" i="16" s="1"/>
  <c r="F16" i="16"/>
  <c r="F17" i="16" s="1"/>
  <c r="I28" i="16"/>
  <c r="I29" i="16" s="1"/>
  <c r="I30" i="16"/>
  <c r="G16" i="16"/>
  <c r="G17" i="16" s="1"/>
  <c r="L28" i="16"/>
  <c r="L29" i="16" s="1"/>
  <c r="L30" i="16"/>
  <c r="I16" i="16"/>
  <c r="I17" i="16" s="1"/>
  <c r="D28" i="16"/>
  <c r="D29" i="16" s="1"/>
  <c r="D30" i="16"/>
  <c r="M16" i="16"/>
  <c r="M17" i="16" s="1"/>
  <c r="G28" i="16"/>
  <c r="G29" i="16" s="1"/>
  <c r="D16" i="16"/>
  <c r="D17" i="16" s="1"/>
  <c r="H16" i="16"/>
  <c r="H17" i="16" s="1"/>
  <c r="H18" i="16"/>
  <c r="L18" i="16"/>
  <c r="E28" i="16"/>
  <c r="E29" i="16" s="1"/>
  <c r="K33" i="16"/>
  <c r="K34" i="16" s="1"/>
  <c r="K35" i="16" s="1"/>
  <c r="J16" i="16"/>
  <c r="J17" i="16" s="1"/>
  <c r="J18" i="16"/>
  <c r="H28" i="16"/>
  <c r="H29" i="16" s="1"/>
  <c r="H30" i="16"/>
  <c r="H33" i="16"/>
  <c r="H34" i="16" s="1"/>
  <c r="H35" i="16" s="1"/>
  <c r="M28" i="16"/>
  <c r="M29" i="16" s="1"/>
  <c r="F28" i="16"/>
  <c r="F29" i="16" s="1"/>
  <c r="F30" i="16"/>
  <c r="F33" i="16"/>
  <c r="F34" i="16" s="1"/>
  <c r="F35" i="16" s="1"/>
  <c r="J28" i="16"/>
  <c r="J29" i="16" s="1"/>
  <c r="D21" i="16"/>
  <c r="D22" i="16" s="1"/>
  <c r="D23" i="16" s="1"/>
  <c r="D20" i="16"/>
  <c r="D18" i="16"/>
  <c r="M21" i="16"/>
  <c r="M22" i="16" s="1"/>
  <c r="M23" i="16" s="1"/>
  <c r="M18" i="16"/>
  <c r="J33" i="16"/>
  <c r="J34" i="16" s="1"/>
  <c r="J35" i="16" s="1"/>
  <c r="J30" i="16"/>
  <c r="J32" i="16"/>
  <c r="G18" i="16"/>
  <c r="G21" i="16"/>
  <c r="G22" i="16" s="1"/>
  <c r="G23" i="16" s="1"/>
  <c r="G20" i="16"/>
  <c r="K18" i="16"/>
  <c r="K21" i="16"/>
  <c r="K22" i="16" s="1"/>
  <c r="K23" i="16" s="1"/>
  <c r="K20" i="16"/>
  <c r="F18" i="16"/>
  <c r="M20" i="16"/>
  <c r="G32" i="16"/>
  <c r="G30" i="16"/>
  <c r="G33" i="16"/>
  <c r="G34" i="16" s="1"/>
  <c r="G35" i="16" s="1"/>
  <c r="F21" i="16"/>
  <c r="F22" i="16" s="1"/>
  <c r="F23" i="16" s="1"/>
  <c r="E30" i="16"/>
  <c r="E21" i="16"/>
  <c r="E22" i="16" s="1"/>
  <c r="E23" i="16" s="1"/>
  <c r="E18" i="16"/>
  <c r="I20" i="16"/>
  <c r="I18" i="16"/>
  <c r="H21" i="16"/>
  <c r="H22" i="16" s="1"/>
  <c r="H23" i="16" s="1"/>
  <c r="H20" i="16"/>
  <c r="I21" i="16"/>
  <c r="I22" i="16" s="1"/>
  <c r="I23" i="16" s="1"/>
  <c r="J20" i="16"/>
  <c r="J21" i="16"/>
  <c r="J22" i="16" s="1"/>
  <c r="J23" i="16" s="1"/>
  <c r="K32" i="16"/>
  <c r="K30" i="16"/>
  <c r="D33" i="16"/>
  <c r="D34" i="16" s="1"/>
  <c r="D35" i="16" s="1"/>
  <c r="D32" i="16"/>
  <c r="L33" i="16"/>
  <c r="L34" i="16" s="1"/>
  <c r="L35" i="16" s="1"/>
  <c r="L32" i="16"/>
  <c r="C41" i="16"/>
  <c r="C42" i="16" s="1"/>
  <c r="C43" i="16" s="1"/>
  <c r="C44" i="16" s="1"/>
  <c r="G44" i="16" s="1"/>
  <c r="G50" i="16" s="1"/>
  <c r="C56" i="16"/>
  <c r="C57" i="16" s="1"/>
  <c r="C58" i="16" s="1"/>
  <c r="C59" i="16" s="1"/>
  <c r="D59" i="16" s="1"/>
  <c r="D65" i="16" s="1"/>
  <c r="L21" i="16"/>
  <c r="L22" i="16" s="1"/>
  <c r="L23" i="16" s="1"/>
  <c r="E33" i="16"/>
  <c r="E34" i="16" s="1"/>
  <c r="E35" i="16" s="1"/>
  <c r="I33" i="16"/>
  <c r="I34" i="16" s="1"/>
  <c r="I35" i="16" s="1"/>
  <c r="M33" i="16"/>
  <c r="M34" i="16" s="1"/>
  <c r="M35" i="16" s="1"/>
  <c r="M30" i="16"/>
  <c r="I32" i="16"/>
  <c r="C56" i="14"/>
  <c r="C57" i="14" s="1"/>
  <c r="B56" i="14"/>
  <c r="B47" i="14"/>
  <c r="C41" i="14"/>
  <c r="C42" i="14" s="1"/>
  <c r="C43" i="14" s="1"/>
  <c r="C44" i="14" s="1"/>
  <c r="J44" i="14" s="1"/>
  <c r="G28" i="14"/>
  <c r="G29" i="14" s="1"/>
  <c r="K28" i="14"/>
  <c r="K29" i="14" s="1"/>
  <c r="F16" i="14"/>
  <c r="F17" i="14" s="1"/>
  <c r="J16" i="14"/>
  <c r="J17" i="14" s="1"/>
  <c r="E16" i="14"/>
  <c r="E17" i="14" s="1"/>
  <c r="E21" i="14"/>
  <c r="E22" i="14" s="1"/>
  <c r="E23" i="14" s="1"/>
  <c r="I16" i="14"/>
  <c r="I17" i="14" s="1"/>
  <c r="M21" i="14"/>
  <c r="M22" i="14" s="1"/>
  <c r="M23" i="14" s="1"/>
  <c r="F28" i="14"/>
  <c r="F29" i="14" s="1"/>
  <c r="J28" i="14"/>
  <c r="J29" i="14" s="1"/>
  <c r="J33" i="14"/>
  <c r="J34" i="14" s="1"/>
  <c r="J35" i="14" s="1"/>
  <c r="G16" i="14"/>
  <c r="G17" i="14" s="1"/>
  <c r="K16" i="14"/>
  <c r="K17" i="14" s="1"/>
  <c r="D28" i="14"/>
  <c r="D29" i="14" s="1"/>
  <c r="H28" i="14"/>
  <c r="H29" i="14" s="1"/>
  <c r="H30" i="14"/>
  <c r="L28" i="14"/>
  <c r="L29" i="14" s="1"/>
  <c r="D16" i="14"/>
  <c r="D17" i="14" s="1"/>
  <c r="H16" i="14"/>
  <c r="H17" i="14" s="1"/>
  <c r="L17" i="14"/>
  <c r="E28" i="14"/>
  <c r="E29" i="14" s="1"/>
  <c r="I28" i="14"/>
  <c r="I29" i="14" s="1"/>
  <c r="G18" i="14"/>
  <c r="D30" i="14"/>
  <c r="F33" i="14"/>
  <c r="F34" i="14" s="1"/>
  <c r="F35" i="14" s="1"/>
  <c r="I20" i="14"/>
  <c r="I18" i="14"/>
  <c r="G33" i="14"/>
  <c r="G34" i="14" s="1"/>
  <c r="G35" i="14" s="1"/>
  <c r="G32" i="14"/>
  <c r="G30" i="14"/>
  <c r="K33" i="14"/>
  <c r="K34" i="14" s="1"/>
  <c r="K35" i="14" s="1"/>
  <c r="K32" i="14"/>
  <c r="K30" i="14"/>
  <c r="D20" i="14"/>
  <c r="D18" i="14"/>
  <c r="D21" i="14"/>
  <c r="D22" i="14" s="1"/>
  <c r="D23" i="14" s="1"/>
  <c r="H20" i="14"/>
  <c r="H18" i="14"/>
  <c r="H21" i="14"/>
  <c r="H22" i="14" s="1"/>
  <c r="H23" i="14" s="1"/>
  <c r="L20" i="14"/>
  <c r="L18" i="14"/>
  <c r="L21" i="14"/>
  <c r="L22" i="14" s="1"/>
  <c r="L23" i="14" s="1"/>
  <c r="E20" i="14"/>
  <c r="E18" i="14"/>
  <c r="J32" i="14"/>
  <c r="J30" i="14"/>
  <c r="F21" i="14"/>
  <c r="F22" i="14" s="1"/>
  <c r="F23" i="14" s="1"/>
  <c r="F20" i="14"/>
  <c r="F18" i="14"/>
  <c r="J21" i="14"/>
  <c r="J22" i="14" s="1"/>
  <c r="J23" i="14" s="1"/>
  <c r="J20" i="14"/>
  <c r="J18" i="14"/>
  <c r="M20" i="14"/>
  <c r="M18" i="14"/>
  <c r="I21" i="14"/>
  <c r="I22" i="14" s="1"/>
  <c r="I23" i="14" s="1"/>
  <c r="D33" i="14"/>
  <c r="D34" i="14" s="1"/>
  <c r="D35" i="14" s="1"/>
  <c r="H33" i="14"/>
  <c r="H34" i="14" s="1"/>
  <c r="H35" i="14" s="1"/>
  <c r="L33" i="14"/>
  <c r="L34" i="14" s="1"/>
  <c r="L35" i="14" s="1"/>
  <c r="L30" i="14"/>
  <c r="H32" i="14"/>
  <c r="G21" i="14"/>
  <c r="G22" i="14" s="1"/>
  <c r="G23" i="14" s="1"/>
  <c r="K21" i="14"/>
  <c r="K22" i="14" s="1"/>
  <c r="K23" i="14" s="1"/>
  <c r="K18" i="14"/>
  <c r="G20" i="14"/>
  <c r="E32" i="14"/>
  <c r="E30" i="14"/>
  <c r="E33" i="14"/>
  <c r="E34" i="14" s="1"/>
  <c r="E35" i="14" s="1"/>
  <c r="I32" i="14"/>
  <c r="I30" i="14"/>
  <c r="I33" i="14"/>
  <c r="I34" i="14" s="1"/>
  <c r="I35" i="14" s="1"/>
  <c r="M32" i="14"/>
  <c r="M30" i="14"/>
  <c r="M33" i="14"/>
  <c r="M34" i="14" s="1"/>
  <c r="M35" i="14" s="1"/>
  <c r="F32" i="14"/>
  <c r="F30" i="14"/>
  <c r="L32" i="14"/>
  <c r="F42" i="14" l="1"/>
  <c r="F48" i="14" s="1"/>
  <c r="J43" i="18"/>
  <c r="J49" i="18" s="1"/>
  <c r="K43" i="18"/>
  <c r="K49" i="18" s="1"/>
  <c r="J59" i="17"/>
  <c r="J65" i="17" s="1"/>
  <c r="K59" i="17"/>
  <c r="K65" i="17" s="1"/>
  <c r="E57" i="17"/>
  <c r="E63" i="17" s="1"/>
  <c r="D59" i="17"/>
  <c r="D65" i="17" s="1"/>
  <c r="M59" i="17"/>
  <c r="M65" i="17" s="1"/>
  <c r="C44" i="18"/>
  <c r="M43" i="18"/>
  <c r="M49" i="18" s="1"/>
  <c r="G43" i="18"/>
  <c r="G49" i="18" s="1"/>
  <c r="C58" i="18"/>
  <c r="M57" i="18"/>
  <c r="M63" i="18" s="1"/>
  <c r="F43" i="18"/>
  <c r="F49" i="18" s="1"/>
  <c r="L43" i="18"/>
  <c r="L49" i="18" s="1"/>
  <c r="M56" i="18"/>
  <c r="M62" i="18" s="1"/>
  <c r="G58" i="17"/>
  <c r="G64" i="17" s="1"/>
  <c r="I59" i="17"/>
  <c r="I65" i="17" s="1"/>
  <c r="K58" i="17"/>
  <c r="K64" i="17" s="1"/>
  <c r="I57" i="17"/>
  <c r="I63" i="17" s="1"/>
  <c r="H59" i="17"/>
  <c r="H65" i="17" s="1"/>
  <c r="M56" i="16"/>
  <c r="M62" i="16" s="1"/>
  <c r="E58" i="16"/>
  <c r="E64" i="16" s="1"/>
  <c r="M17" i="18"/>
  <c r="G57" i="17"/>
  <c r="G63" i="17" s="1"/>
  <c r="D57" i="17"/>
  <c r="D63" i="17" s="1"/>
  <c r="H58" i="17"/>
  <c r="H64" i="17" s="1"/>
  <c r="J56" i="17"/>
  <c r="J62" i="17" s="1"/>
  <c r="E58" i="17"/>
  <c r="E64" i="17" s="1"/>
  <c r="E59" i="17"/>
  <c r="E65" i="17" s="1"/>
  <c r="D56" i="17"/>
  <c r="H57" i="17"/>
  <c r="H63" i="17" s="1"/>
  <c r="J57" i="17"/>
  <c r="J63" i="17" s="1"/>
  <c r="F57" i="17"/>
  <c r="F63" i="17" s="1"/>
  <c r="L57" i="17"/>
  <c r="L63" i="17" s="1"/>
  <c r="D42" i="17"/>
  <c r="D48" i="17" s="1"/>
  <c r="K57" i="17"/>
  <c r="K63" i="17" s="1"/>
  <c r="G56" i="17"/>
  <c r="G60" i="17" s="1"/>
  <c r="I58" i="17"/>
  <c r="I64" i="17" s="1"/>
  <c r="I56" i="17"/>
  <c r="I62" i="17" s="1"/>
  <c r="D58" i="17"/>
  <c r="D64" i="17" s="1"/>
  <c r="M57" i="17"/>
  <c r="M63" i="17" s="1"/>
  <c r="K43" i="17"/>
  <c r="K49" i="17" s="1"/>
  <c r="F59" i="17"/>
  <c r="F65" i="17" s="1"/>
  <c r="F58" i="17"/>
  <c r="F64" i="17" s="1"/>
  <c r="E56" i="17"/>
  <c r="E62" i="17" s="1"/>
  <c r="E66" i="17" s="1"/>
  <c r="L58" i="17"/>
  <c r="L64" i="17" s="1"/>
  <c r="L59" i="17"/>
  <c r="L65" i="17" s="1"/>
  <c r="E44" i="17"/>
  <c r="E50" i="17" s="1"/>
  <c r="F44" i="14"/>
  <c r="F50" i="14" s="1"/>
  <c r="H44" i="14"/>
  <c r="H50" i="14" s="1"/>
  <c r="G43" i="14"/>
  <c r="G49" i="14" s="1"/>
  <c r="M44" i="14"/>
  <c r="M50" i="14" s="1"/>
  <c r="E41" i="14"/>
  <c r="E47" i="14" s="1"/>
  <c r="G57" i="18"/>
  <c r="G63" i="18" s="1"/>
  <c r="I57" i="18"/>
  <c r="I63" i="18" s="1"/>
  <c r="F56" i="18"/>
  <c r="D56" i="18"/>
  <c r="D62" i="18" s="1"/>
  <c r="L58" i="18"/>
  <c r="L64" i="18" s="1"/>
  <c r="E57" i="18"/>
  <c r="E63" i="18" s="1"/>
  <c r="K56" i="18"/>
  <c r="J47" i="18"/>
  <c r="F57" i="18"/>
  <c r="F63" i="18" s="1"/>
  <c r="L47" i="18"/>
  <c r="D57" i="18"/>
  <c r="D63" i="18" s="1"/>
  <c r="H57" i="18"/>
  <c r="H63" i="18" s="1"/>
  <c r="I47" i="18"/>
  <c r="G47" i="18"/>
  <c r="I56" i="18"/>
  <c r="E58" i="18"/>
  <c r="E64" i="18" s="1"/>
  <c r="K57" i="18"/>
  <c r="K63" i="18" s="1"/>
  <c r="G56" i="18"/>
  <c r="J57" i="18"/>
  <c r="J63" i="18" s="1"/>
  <c r="H47" i="18"/>
  <c r="L56" i="18"/>
  <c r="E47" i="18"/>
  <c r="K47" i="18"/>
  <c r="F47" i="18"/>
  <c r="D47" i="18"/>
  <c r="E56" i="18"/>
  <c r="G58" i="18"/>
  <c r="G64" i="18" s="1"/>
  <c r="J56" i="18"/>
  <c r="L57" i="18"/>
  <c r="L63" i="18" s="1"/>
  <c r="D58" i="18"/>
  <c r="D64" i="18" s="1"/>
  <c r="H56" i="18"/>
  <c r="K56" i="17"/>
  <c r="K62" i="17" s="1"/>
  <c r="M58" i="17"/>
  <c r="M64" i="17" s="1"/>
  <c r="H56" i="17"/>
  <c r="J58" i="17"/>
  <c r="J64" i="17" s="1"/>
  <c r="F56" i="17"/>
  <c r="F62" i="17" s="1"/>
  <c r="L56" i="17"/>
  <c r="L62" i="17" s="1"/>
  <c r="M41" i="17"/>
  <c r="M47" i="17" s="1"/>
  <c r="H43" i="17"/>
  <c r="H49" i="17" s="1"/>
  <c r="M42" i="17"/>
  <c r="M48" i="17" s="1"/>
  <c r="G42" i="17"/>
  <c r="G48" i="17" s="1"/>
  <c r="F42" i="17"/>
  <c r="F48" i="17" s="1"/>
  <c r="I44" i="17"/>
  <c r="I50" i="17" s="1"/>
  <c r="L43" i="17"/>
  <c r="L49" i="17" s="1"/>
  <c r="H41" i="17"/>
  <c r="D44" i="17"/>
  <c r="D50" i="17" s="1"/>
  <c r="K41" i="17"/>
  <c r="G44" i="17"/>
  <c r="G50" i="17" s="1"/>
  <c r="M44" i="17"/>
  <c r="M50" i="17" s="1"/>
  <c r="E41" i="17"/>
  <c r="J41" i="17"/>
  <c r="J43" i="17"/>
  <c r="J49" i="17" s="1"/>
  <c r="L44" i="17"/>
  <c r="L50" i="17" s="1"/>
  <c r="H42" i="17"/>
  <c r="H48" i="17" s="1"/>
  <c r="D41" i="17"/>
  <c r="K42" i="17"/>
  <c r="K48" i="17" s="1"/>
  <c r="G41" i="17"/>
  <c r="F41" i="17"/>
  <c r="E43" i="17"/>
  <c r="E49" i="17" s="1"/>
  <c r="J42" i="17"/>
  <c r="J48" i="17" s="1"/>
  <c r="I43" i="17"/>
  <c r="I49" i="17" s="1"/>
  <c r="M62" i="17"/>
  <c r="L42" i="17"/>
  <c r="L48" i="17" s="1"/>
  <c r="L41" i="17"/>
  <c r="H44" i="17"/>
  <c r="H50" i="17" s="1"/>
  <c r="D43" i="17"/>
  <c r="D49" i="17" s="1"/>
  <c r="K44" i="17"/>
  <c r="K50" i="17" s="1"/>
  <c r="G43" i="17"/>
  <c r="G49" i="17" s="1"/>
  <c r="F44" i="17"/>
  <c r="F50" i="17" s="1"/>
  <c r="F43" i="17"/>
  <c r="F49" i="17" s="1"/>
  <c r="M43" i="17"/>
  <c r="M49" i="17" s="1"/>
  <c r="E42" i="17"/>
  <c r="E48" i="17" s="1"/>
  <c r="I41" i="17"/>
  <c r="I42" i="17"/>
  <c r="I48" i="17" s="1"/>
  <c r="L44" i="14"/>
  <c r="L50" i="14" s="1"/>
  <c r="I44" i="14"/>
  <c r="I50" i="14" s="1"/>
  <c r="J42" i="14"/>
  <c r="J48" i="14" s="1"/>
  <c r="K41" i="14"/>
  <c r="K47" i="14" s="1"/>
  <c r="M41" i="14"/>
  <c r="M47" i="14" s="1"/>
  <c r="L41" i="14"/>
  <c r="H41" i="14"/>
  <c r="H47" i="14" s="1"/>
  <c r="D42" i="14"/>
  <c r="D48" i="14" s="1"/>
  <c r="K43" i="14"/>
  <c r="K49" i="14" s="1"/>
  <c r="M42" i="14"/>
  <c r="M48" i="14" s="1"/>
  <c r="I42" i="14"/>
  <c r="I48" i="14" s="1"/>
  <c r="E43" i="14"/>
  <c r="E49" i="14" s="1"/>
  <c r="H42" i="14"/>
  <c r="H48" i="14" s="1"/>
  <c r="D43" i="14"/>
  <c r="D49" i="14" s="1"/>
  <c r="K42" i="14"/>
  <c r="K48" i="14" s="1"/>
  <c r="J41" i="14"/>
  <c r="J47" i="14" s="1"/>
  <c r="L59" i="16"/>
  <c r="L65" i="16" s="1"/>
  <c r="I59" i="16"/>
  <c r="I65" i="16" s="1"/>
  <c r="E59" i="16"/>
  <c r="E65" i="16" s="1"/>
  <c r="J56" i="16"/>
  <c r="J62" i="16" s="1"/>
  <c r="F59" i="16"/>
  <c r="F65" i="16" s="1"/>
  <c r="H58" i="16"/>
  <c r="H64" i="16" s="1"/>
  <c r="K57" i="16"/>
  <c r="K63" i="16" s="1"/>
  <c r="I57" i="16"/>
  <c r="I63" i="16" s="1"/>
  <c r="G57" i="16"/>
  <c r="G63" i="16" s="1"/>
  <c r="D57" i="16"/>
  <c r="D63" i="16" s="1"/>
  <c r="G59" i="16"/>
  <c r="G65" i="16" s="1"/>
  <c r="J58" i="16"/>
  <c r="J64" i="16" s="1"/>
  <c r="F57" i="16"/>
  <c r="F63" i="16" s="1"/>
  <c r="M57" i="16"/>
  <c r="M63" i="16" s="1"/>
  <c r="H57" i="16"/>
  <c r="H63" i="16" s="1"/>
  <c r="K56" i="16"/>
  <c r="K62" i="16" s="1"/>
  <c r="G58" i="16"/>
  <c r="G64" i="16" s="1"/>
  <c r="L58" i="16"/>
  <c r="L64" i="16" s="1"/>
  <c r="J43" i="16"/>
  <c r="J49" i="16" s="1"/>
  <c r="F41" i="16"/>
  <c r="L43" i="16"/>
  <c r="L49" i="16" s="1"/>
  <c r="L42" i="16"/>
  <c r="L48" i="16" s="1"/>
  <c r="H43" i="16"/>
  <c r="H49" i="16" s="1"/>
  <c r="D44" i="16"/>
  <c r="D50" i="16" s="1"/>
  <c r="M44" i="16"/>
  <c r="M50" i="16" s="1"/>
  <c r="E42" i="16"/>
  <c r="E48" i="16" s="1"/>
  <c r="K44" i="16"/>
  <c r="K50" i="16" s="1"/>
  <c r="I41" i="16"/>
  <c r="G43" i="16"/>
  <c r="G49" i="16" s="1"/>
  <c r="J59" i="16"/>
  <c r="J65" i="16" s="1"/>
  <c r="F56" i="16"/>
  <c r="M59" i="16"/>
  <c r="M65" i="16" s="1"/>
  <c r="F42" i="16"/>
  <c r="F48" i="16" s="1"/>
  <c r="K58" i="16"/>
  <c r="K64" i="16" s="1"/>
  <c r="E56" i="16"/>
  <c r="L44" i="16"/>
  <c r="L50" i="16" s="1"/>
  <c r="H41" i="16"/>
  <c r="H44" i="16"/>
  <c r="H50" i="16" s="1"/>
  <c r="G56" i="16"/>
  <c r="M43" i="16"/>
  <c r="M49" i="16" s="1"/>
  <c r="E44" i="16"/>
  <c r="E50" i="16" s="1"/>
  <c r="D58" i="16"/>
  <c r="D64" i="16" s="1"/>
  <c r="K41" i="16"/>
  <c r="I42" i="16"/>
  <c r="I48" i="16" s="1"/>
  <c r="G41" i="16"/>
  <c r="I56" i="16"/>
  <c r="J41" i="16"/>
  <c r="J44" i="16"/>
  <c r="J50" i="16" s="1"/>
  <c r="F43" i="16"/>
  <c r="F49" i="16" s="1"/>
  <c r="L41" i="16"/>
  <c r="H42" i="16"/>
  <c r="H48" i="16" s="1"/>
  <c r="D41" i="16"/>
  <c r="M41" i="16"/>
  <c r="E41" i="16"/>
  <c r="E43" i="16"/>
  <c r="E49" i="16" s="1"/>
  <c r="K42" i="16"/>
  <c r="K48" i="16" s="1"/>
  <c r="I43" i="16"/>
  <c r="I49" i="16" s="1"/>
  <c r="G42" i="16"/>
  <c r="G48" i="16" s="1"/>
  <c r="J57" i="16"/>
  <c r="J63" i="16" s="1"/>
  <c r="F58" i="16"/>
  <c r="F64" i="16" s="1"/>
  <c r="M58" i="16"/>
  <c r="M64" i="16" s="1"/>
  <c r="H56" i="16"/>
  <c r="H59" i="16"/>
  <c r="H65" i="16" s="1"/>
  <c r="J42" i="16"/>
  <c r="J48" i="16" s="1"/>
  <c r="F44" i="16"/>
  <c r="F50" i="16" s="1"/>
  <c r="K59" i="16"/>
  <c r="K65" i="16" s="1"/>
  <c r="E57" i="16"/>
  <c r="E63" i="16" s="1"/>
  <c r="D43" i="16"/>
  <c r="D49" i="16" s="1"/>
  <c r="D42" i="16"/>
  <c r="D48" i="16" s="1"/>
  <c r="M42" i="16"/>
  <c r="M48" i="16" s="1"/>
  <c r="D56" i="16"/>
  <c r="K43" i="16"/>
  <c r="K49" i="16" s="1"/>
  <c r="I44" i="16"/>
  <c r="I50" i="16" s="1"/>
  <c r="L57" i="16"/>
  <c r="L63" i="16" s="1"/>
  <c r="L56" i="16"/>
  <c r="I58" i="16"/>
  <c r="I64" i="16" s="1"/>
  <c r="K56" i="14"/>
  <c r="K62" i="14" s="1"/>
  <c r="I56" i="14"/>
  <c r="I62" i="14" s="1"/>
  <c r="L56" i="14"/>
  <c r="L62" i="14" s="1"/>
  <c r="M57" i="14"/>
  <c r="M63" i="14" s="1"/>
  <c r="I57" i="14"/>
  <c r="I63" i="14" s="1"/>
  <c r="E57" i="14"/>
  <c r="E63" i="14" s="1"/>
  <c r="D57" i="14"/>
  <c r="D63" i="14" s="1"/>
  <c r="L57" i="14"/>
  <c r="L63" i="14" s="1"/>
  <c r="H57" i="14"/>
  <c r="H63" i="14" s="1"/>
  <c r="K57" i="14"/>
  <c r="K63" i="14" s="1"/>
  <c r="G57" i="14"/>
  <c r="G63" i="14" s="1"/>
  <c r="F57" i="14"/>
  <c r="F63" i="14" s="1"/>
  <c r="C58" i="14"/>
  <c r="J57" i="14"/>
  <c r="J63" i="14" s="1"/>
  <c r="M56" i="14"/>
  <c r="M62" i="14" s="1"/>
  <c r="G56" i="14"/>
  <c r="G62" i="14" s="1"/>
  <c r="D56" i="14"/>
  <c r="D62" i="14" s="1"/>
  <c r="F56" i="14"/>
  <c r="F62" i="14" s="1"/>
  <c r="H43" i="14"/>
  <c r="G44" i="14"/>
  <c r="G50" i="14" s="1"/>
  <c r="I43" i="14"/>
  <c r="I49" i="14" s="1"/>
  <c r="E42" i="14"/>
  <c r="E48" i="14" s="1"/>
  <c r="J43" i="14"/>
  <c r="J49" i="14" s="1"/>
  <c r="F43" i="14"/>
  <c r="F41" i="14"/>
  <c r="F47" i="14" s="1"/>
  <c r="H56" i="14"/>
  <c r="H62" i="14" s="1"/>
  <c r="E56" i="14"/>
  <c r="E62" i="14" s="1"/>
  <c r="J56" i="14"/>
  <c r="J62" i="14" s="1"/>
  <c r="L42" i="14"/>
  <c r="L48" i="14" s="1"/>
  <c r="L43" i="14"/>
  <c r="L49" i="14" s="1"/>
  <c r="D41" i="14"/>
  <c r="D47" i="14" s="1"/>
  <c r="D44" i="14"/>
  <c r="D50" i="14" s="1"/>
  <c r="K44" i="14"/>
  <c r="G41" i="14"/>
  <c r="G47" i="14" s="1"/>
  <c r="G42" i="14"/>
  <c r="G48" i="14" s="1"/>
  <c r="M43" i="14"/>
  <c r="M49" i="14" s="1"/>
  <c r="I41" i="14"/>
  <c r="E44" i="14"/>
  <c r="J50" i="14"/>
  <c r="L45" i="16" l="1"/>
  <c r="L47" i="14"/>
  <c r="L51" i="14" s="1"/>
  <c r="L45" i="14"/>
  <c r="L45" i="17"/>
  <c r="D60" i="17"/>
  <c r="C59" i="18"/>
  <c r="M58" i="18"/>
  <c r="M64" i="18" s="1"/>
  <c r="M44" i="18"/>
  <c r="G44" i="18"/>
  <c r="G50" i="18" s="1"/>
  <c r="G51" i="18" s="1"/>
  <c r="G52" i="18" s="1"/>
  <c r="I44" i="18"/>
  <c r="D44" i="18"/>
  <c r="J44" i="18"/>
  <c r="K44" i="18"/>
  <c r="L44" i="18"/>
  <c r="L50" i="18" s="1"/>
  <c r="L51" i="18" s="1"/>
  <c r="E44" i="18"/>
  <c r="H44" i="18"/>
  <c r="F44" i="18"/>
  <c r="F58" i="18"/>
  <c r="F64" i="18" s="1"/>
  <c r="I58" i="18"/>
  <c r="I64" i="18" s="1"/>
  <c r="H58" i="18"/>
  <c r="H64" i="18" s="1"/>
  <c r="J58" i="18"/>
  <c r="J64" i="18" s="1"/>
  <c r="K58" i="18"/>
  <c r="K64" i="18" s="1"/>
  <c r="D62" i="17"/>
  <c r="D66" i="17" s="1"/>
  <c r="D67" i="17" s="1"/>
  <c r="K66" i="17"/>
  <c r="K68" i="17" s="1"/>
  <c r="I66" i="17"/>
  <c r="G62" i="17"/>
  <c r="G66" i="17" s="1"/>
  <c r="G68" i="17" s="1"/>
  <c r="E60" i="17"/>
  <c r="L66" i="17"/>
  <c r="L67" i="17" s="1"/>
  <c r="I60" i="17"/>
  <c r="H60" i="17"/>
  <c r="M66" i="17"/>
  <c r="M67" i="17" s="1"/>
  <c r="F66" i="17"/>
  <c r="F67" i="17" s="1"/>
  <c r="K60" i="17"/>
  <c r="L60" i="17"/>
  <c r="F60" i="17"/>
  <c r="M51" i="17"/>
  <c r="M52" i="17" s="1"/>
  <c r="F62" i="18"/>
  <c r="H62" i="18"/>
  <c r="J62" i="18"/>
  <c r="K62" i="18"/>
  <c r="L62" i="18"/>
  <c r="I62" i="18"/>
  <c r="E62" i="18"/>
  <c r="G62" i="18"/>
  <c r="J60" i="17"/>
  <c r="H62" i="17"/>
  <c r="H66" i="17" s="1"/>
  <c r="H67" i="17" s="1"/>
  <c r="J66" i="17"/>
  <c r="J68" i="17" s="1"/>
  <c r="M60" i="17"/>
  <c r="L47" i="17"/>
  <c r="L51" i="17" s="1"/>
  <c r="G47" i="17"/>
  <c r="G51" i="17" s="1"/>
  <c r="G45" i="17"/>
  <c r="J47" i="17"/>
  <c r="J51" i="17" s="1"/>
  <c r="J45" i="17"/>
  <c r="I45" i="17"/>
  <c r="I47" i="17"/>
  <c r="I51" i="17" s="1"/>
  <c r="D68" i="17"/>
  <c r="E67" i="17"/>
  <c r="E68" i="17"/>
  <c r="I67" i="17"/>
  <c r="I68" i="17"/>
  <c r="D47" i="17"/>
  <c r="D51" i="17" s="1"/>
  <c r="D45" i="17"/>
  <c r="K47" i="17"/>
  <c r="K51" i="17" s="1"/>
  <c r="K45" i="17"/>
  <c r="H47" i="17"/>
  <c r="H51" i="17" s="1"/>
  <c r="H45" i="17"/>
  <c r="M45" i="17"/>
  <c r="F47" i="17"/>
  <c r="F51" i="17" s="1"/>
  <c r="F45" i="17"/>
  <c r="E45" i="17"/>
  <c r="E47" i="17"/>
  <c r="E51" i="17" s="1"/>
  <c r="J45" i="14"/>
  <c r="H45" i="14"/>
  <c r="I45" i="14"/>
  <c r="K45" i="14"/>
  <c r="E45" i="14"/>
  <c r="J60" i="16"/>
  <c r="K60" i="16"/>
  <c r="M45" i="14"/>
  <c r="D45" i="16"/>
  <c r="D47" i="16"/>
  <c r="D51" i="16" s="1"/>
  <c r="I47" i="16"/>
  <c r="I51" i="16" s="1"/>
  <c r="I45" i="16"/>
  <c r="L60" i="16"/>
  <c r="L62" i="16"/>
  <c r="L66" i="16" s="1"/>
  <c r="D60" i="16"/>
  <c r="D62" i="16"/>
  <c r="D66" i="16" s="1"/>
  <c r="J47" i="16"/>
  <c r="J51" i="16" s="1"/>
  <c r="J45" i="16"/>
  <c r="J66" i="16"/>
  <c r="K47" i="16"/>
  <c r="K51" i="16" s="1"/>
  <c r="K45" i="16"/>
  <c r="G62" i="16"/>
  <c r="G66" i="16" s="1"/>
  <c r="G60" i="16"/>
  <c r="E62" i="16"/>
  <c r="E66" i="16" s="1"/>
  <c r="E60" i="16"/>
  <c r="F62" i="16"/>
  <c r="F66" i="16" s="1"/>
  <c r="F60" i="16"/>
  <c r="K66" i="16"/>
  <c r="H60" i="16"/>
  <c r="H62" i="16"/>
  <c r="H66" i="16" s="1"/>
  <c r="E47" i="16"/>
  <c r="E51" i="16" s="1"/>
  <c r="E45" i="16"/>
  <c r="L47" i="16"/>
  <c r="L51" i="16" s="1"/>
  <c r="M60" i="16"/>
  <c r="I62" i="16"/>
  <c r="I66" i="16" s="1"/>
  <c r="I60" i="16"/>
  <c r="F47" i="16"/>
  <c r="F51" i="16" s="1"/>
  <c r="F45" i="16"/>
  <c r="M47" i="16"/>
  <c r="M51" i="16" s="1"/>
  <c r="M45" i="16"/>
  <c r="M66" i="16"/>
  <c r="G47" i="16"/>
  <c r="G51" i="16" s="1"/>
  <c r="G45" i="16"/>
  <c r="H45" i="16"/>
  <c r="H47" i="16"/>
  <c r="H51" i="16" s="1"/>
  <c r="I47" i="14"/>
  <c r="I51" i="14" s="1"/>
  <c r="F45" i="14"/>
  <c r="F49" i="14"/>
  <c r="F51" i="14" s="1"/>
  <c r="H49" i="14"/>
  <c r="H51" i="14" s="1"/>
  <c r="L58" i="14"/>
  <c r="H58" i="14"/>
  <c r="H64" i="14" s="1"/>
  <c r="K58" i="14"/>
  <c r="K64" i="14" s="1"/>
  <c r="G58" i="14"/>
  <c r="J58" i="14"/>
  <c r="J64" i="14" s="1"/>
  <c r="F58" i="14"/>
  <c r="F64" i="14" s="1"/>
  <c r="C59" i="14"/>
  <c r="M58" i="14"/>
  <c r="I58" i="14"/>
  <c r="I64" i="14" s="1"/>
  <c r="E58" i="14"/>
  <c r="D58" i="14"/>
  <c r="K50" i="14"/>
  <c r="K51" i="14" s="1"/>
  <c r="E50" i="14"/>
  <c r="E51" i="14" s="1"/>
  <c r="G51" i="14"/>
  <c r="G45" i="14"/>
  <c r="D51" i="14"/>
  <c r="D45" i="14"/>
  <c r="J51" i="14"/>
  <c r="M51" i="14"/>
  <c r="K67" i="17" l="1"/>
  <c r="L68" i="17"/>
  <c r="F68" i="17"/>
  <c r="L45" i="18"/>
  <c r="L53" i="18"/>
  <c r="L52" i="18"/>
  <c r="I50" i="18"/>
  <c r="I51" i="18" s="1"/>
  <c r="I45" i="18"/>
  <c r="F50" i="18"/>
  <c r="F51" i="18" s="1"/>
  <c r="F45" i="18"/>
  <c r="K50" i="18"/>
  <c r="K51" i="18" s="1"/>
  <c r="K45" i="18"/>
  <c r="K59" i="18"/>
  <c r="K65" i="18" s="1"/>
  <c r="K66" i="18" s="1"/>
  <c r="M59" i="18"/>
  <c r="M65" i="18" s="1"/>
  <c r="M66" i="18" s="1"/>
  <c r="I59" i="18"/>
  <c r="E59" i="18"/>
  <c r="L59" i="18"/>
  <c r="J59" i="18"/>
  <c r="H59" i="18"/>
  <c r="G59" i="18"/>
  <c r="F59" i="18"/>
  <c r="F65" i="18" s="1"/>
  <c r="F66" i="18" s="1"/>
  <c r="D59" i="18"/>
  <c r="G53" i="18"/>
  <c r="H50" i="18"/>
  <c r="H51" i="18" s="1"/>
  <c r="H45" i="18"/>
  <c r="J50" i="18"/>
  <c r="J51" i="18" s="1"/>
  <c r="J45" i="18"/>
  <c r="M50" i="18"/>
  <c r="M51" i="18" s="1"/>
  <c r="M45" i="18"/>
  <c r="G45" i="18"/>
  <c r="E50" i="18"/>
  <c r="E51" i="18" s="1"/>
  <c r="E45" i="18"/>
  <c r="D50" i="18"/>
  <c r="D51" i="18" s="1"/>
  <c r="D45" i="18"/>
  <c r="G67" i="17"/>
  <c r="I54" i="16"/>
  <c r="I39" i="16"/>
  <c r="D39" i="16"/>
  <c r="D54" i="16"/>
  <c r="D39" i="14"/>
  <c r="D53" i="14"/>
  <c r="I39" i="14"/>
  <c r="D54" i="17"/>
  <c r="M68" i="17"/>
  <c r="I54" i="17"/>
  <c r="D39" i="17"/>
  <c r="I39" i="17"/>
  <c r="M53" i="17"/>
  <c r="H68" i="17"/>
  <c r="J67" i="17"/>
  <c r="E52" i="17"/>
  <c r="E53" i="17"/>
  <c r="K53" i="17"/>
  <c r="K52" i="17"/>
  <c r="D52" i="17"/>
  <c r="D53" i="17"/>
  <c r="L53" i="17"/>
  <c r="L52" i="17"/>
  <c r="I52" i="17"/>
  <c r="I53" i="17"/>
  <c r="H52" i="17"/>
  <c r="H53" i="17"/>
  <c r="J53" i="17"/>
  <c r="J52" i="17"/>
  <c r="F53" i="17"/>
  <c r="F52" i="17"/>
  <c r="G53" i="17"/>
  <c r="G52" i="17"/>
  <c r="G52" i="16"/>
  <c r="G53" i="16"/>
  <c r="I52" i="16"/>
  <c r="I53" i="16"/>
  <c r="H52" i="16"/>
  <c r="H53" i="16"/>
  <c r="M68" i="16"/>
  <c r="M67" i="16"/>
  <c r="F53" i="16"/>
  <c r="F52" i="16"/>
  <c r="L52" i="16"/>
  <c r="L53" i="16"/>
  <c r="H67" i="16"/>
  <c r="H68" i="16"/>
  <c r="F68" i="16"/>
  <c r="F67" i="16"/>
  <c r="G67" i="16"/>
  <c r="G68" i="16"/>
  <c r="L67" i="16"/>
  <c r="L68" i="16"/>
  <c r="D52" i="16"/>
  <c r="D53" i="16"/>
  <c r="E53" i="16"/>
  <c r="E52" i="16"/>
  <c r="J68" i="16"/>
  <c r="J67" i="16"/>
  <c r="J53" i="16"/>
  <c r="J52" i="16"/>
  <c r="M53" i="16"/>
  <c r="M52" i="16"/>
  <c r="I68" i="16"/>
  <c r="I67" i="16"/>
  <c r="K68" i="16"/>
  <c r="K67" i="16"/>
  <c r="E68" i="16"/>
  <c r="E67" i="16"/>
  <c r="K53" i="16"/>
  <c r="K52" i="16"/>
  <c r="D67" i="16"/>
  <c r="D68" i="16"/>
  <c r="I52" i="14"/>
  <c r="I53" i="14"/>
  <c r="M64" i="14"/>
  <c r="D64" i="14"/>
  <c r="K59" i="14"/>
  <c r="K65" i="14" s="1"/>
  <c r="K66" i="14" s="1"/>
  <c r="G59" i="14"/>
  <c r="G65" i="14" s="1"/>
  <c r="J59" i="14"/>
  <c r="F59" i="14"/>
  <c r="F65" i="14" s="1"/>
  <c r="F66" i="14" s="1"/>
  <c r="M59" i="14"/>
  <c r="M65" i="14" s="1"/>
  <c r="I59" i="14"/>
  <c r="E59" i="14"/>
  <c r="E65" i="14" s="1"/>
  <c r="D59" i="14"/>
  <c r="D65" i="14" s="1"/>
  <c r="L59" i="14"/>
  <c r="L65" i="14" s="1"/>
  <c r="H59" i="14"/>
  <c r="M52" i="14"/>
  <c r="M53" i="14"/>
  <c r="H52" i="14"/>
  <c r="H53" i="14"/>
  <c r="J52" i="14"/>
  <c r="J53" i="14"/>
  <c r="F52" i="14"/>
  <c r="F53" i="14"/>
  <c r="G52" i="14"/>
  <c r="G53" i="14"/>
  <c r="L64" i="14"/>
  <c r="L52" i="14"/>
  <c r="L53" i="14"/>
  <c r="K52" i="14"/>
  <c r="K53" i="14"/>
  <c r="G64" i="14"/>
  <c r="G66" i="14" s="1"/>
  <c r="E52" i="14"/>
  <c r="E53" i="14"/>
  <c r="E64" i="14"/>
  <c r="D52" i="14"/>
  <c r="F60" i="18" l="1"/>
  <c r="M68" i="18"/>
  <c r="M67" i="18"/>
  <c r="F68" i="18"/>
  <c r="F67" i="18"/>
  <c r="K67" i="18"/>
  <c r="K68" i="18"/>
  <c r="M53" i="18"/>
  <c r="M52" i="18"/>
  <c r="H53" i="18"/>
  <c r="H52" i="18"/>
  <c r="D65" i="18"/>
  <c r="D66" i="18" s="1"/>
  <c r="D60" i="18"/>
  <c r="J65" i="18"/>
  <c r="J66" i="18" s="1"/>
  <c r="J60" i="18"/>
  <c r="I39" i="18"/>
  <c r="D52" i="18"/>
  <c r="D53" i="18"/>
  <c r="D39" i="18"/>
  <c r="M60" i="18"/>
  <c r="L65" i="18"/>
  <c r="L66" i="18" s="1"/>
  <c r="L60" i="18"/>
  <c r="F52" i="18"/>
  <c r="F53" i="18"/>
  <c r="J53" i="18"/>
  <c r="J52" i="18"/>
  <c r="G65" i="18"/>
  <c r="G66" i="18" s="1"/>
  <c r="G60" i="18"/>
  <c r="E65" i="18"/>
  <c r="E66" i="18" s="1"/>
  <c r="E60" i="18"/>
  <c r="K60" i="18"/>
  <c r="E53" i="18"/>
  <c r="E52" i="18"/>
  <c r="H65" i="18"/>
  <c r="H66" i="18" s="1"/>
  <c r="H60" i="18"/>
  <c r="I65" i="18"/>
  <c r="I66" i="18" s="1"/>
  <c r="I60" i="18"/>
  <c r="K52" i="18"/>
  <c r="K53" i="18"/>
  <c r="I52" i="18"/>
  <c r="I53" i="18"/>
  <c r="E60" i="14"/>
  <c r="G60" i="14"/>
  <c r="E66" i="14"/>
  <c r="E67" i="14" s="1"/>
  <c r="K67" i="14"/>
  <c r="K68" i="14"/>
  <c r="G67" i="14"/>
  <c r="G68" i="14"/>
  <c r="F60" i="14"/>
  <c r="L66" i="14"/>
  <c r="H65" i="14"/>
  <c r="H66" i="14" s="1"/>
  <c r="H60" i="14"/>
  <c r="I65" i="14"/>
  <c r="I66" i="14" s="1"/>
  <c r="I60" i="14"/>
  <c r="M60" i="14"/>
  <c r="M66" i="14"/>
  <c r="F67" i="14"/>
  <c r="F68" i="14"/>
  <c r="D60" i="14"/>
  <c r="L60" i="14"/>
  <c r="K60" i="14"/>
  <c r="J65" i="14"/>
  <c r="J66" i="14" s="1"/>
  <c r="J60" i="14"/>
  <c r="D66" i="14"/>
  <c r="G68" i="18" l="1"/>
  <c r="G67" i="18"/>
  <c r="H68" i="18"/>
  <c r="H67" i="18"/>
  <c r="J68" i="18"/>
  <c r="J67" i="18"/>
  <c r="E68" i="18"/>
  <c r="E67" i="18"/>
  <c r="L68" i="18"/>
  <c r="L67" i="18"/>
  <c r="D54" i="18"/>
  <c r="I68" i="18"/>
  <c r="I67" i="18"/>
  <c r="D67" i="18"/>
  <c r="I54" i="18"/>
  <c r="D68" i="18"/>
  <c r="I54" i="14"/>
  <c r="D54" i="14"/>
  <c r="E68" i="14"/>
  <c r="D67" i="14"/>
  <c r="D68" i="14"/>
  <c r="J67" i="14"/>
  <c r="J68" i="14"/>
  <c r="M67" i="14"/>
  <c r="M68" i="14"/>
  <c r="H67" i="14"/>
  <c r="H68" i="14"/>
  <c r="L67" i="14"/>
  <c r="L68" i="14"/>
  <c r="I67" i="14"/>
  <c r="I68" i="14"/>
</calcChain>
</file>

<file path=xl/sharedStrings.xml><?xml version="1.0" encoding="utf-8"?>
<sst xmlns="http://schemas.openxmlformats.org/spreadsheetml/2006/main" count="620" uniqueCount="60">
  <si>
    <t>Average Utilization of Servers =</t>
  </si>
  <si>
    <t>Class</t>
  </si>
  <si>
    <t>highest priority = 1</t>
  </si>
  <si>
    <t>MEAN</t>
  </si>
  <si>
    <t>Number of Servers, c =</t>
  </si>
  <si>
    <t>Arrival Rate, Ri =</t>
  </si>
  <si>
    <t>Service Rate of each server, 1/Tp =</t>
  </si>
  <si>
    <t>Average Waiting Time (Ti) =</t>
  </si>
  <si>
    <t>Average Number of Customers Receiving Service (Ip) =</t>
  </si>
  <si>
    <t>Average Number in the System (I) =</t>
  </si>
  <si>
    <t>Average Time in System (T) =</t>
  </si>
  <si>
    <t>MAX</t>
  </si>
  <si>
    <t>(minutes)</t>
  </si>
  <si>
    <t>Time of Day</t>
  </si>
  <si>
    <t>8-8:59</t>
  </si>
  <si>
    <t>9-9:59</t>
  </si>
  <si>
    <t>10-10:59</t>
  </si>
  <si>
    <t>11-11:59</t>
  </si>
  <si>
    <t>12-12:59</t>
  </si>
  <si>
    <t>1-1:59</t>
  </si>
  <si>
    <t>2-2:59</t>
  </si>
  <si>
    <t>3-3:59</t>
  </si>
  <si>
    <t>4-4:59</t>
  </si>
  <si>
    <t>5-5:59</t>
  </si>
  <si>
    <t>Average Waiting Time (min, sec) =</t>
  </si>
  <si>
    <t>Range of MRs Needed</t>
  </si>
  <si>
    <t>Average Number Waiting in Line (Ii) =</t>
  </si>
  <si>
    <t>In Line</t>
  </si>
  <si>
    <t>Service</t>
  </si>
  <si>
    <t>Probability of more than</t>
  </si>
  <si>
    <t>*User Inputs Data*</t>
  </si>
  <si>
    <t>MEAN Arrival Rate, (hour)</t>
  </si>
  <si>
    <t>MAX Arrival Rate, (hour)</t>
  </si>
  <si>
    <t>to see</t>
  </si>
  <si>
    <t>Output</t>
  </si>
  <si>
    <t xml:space="preserve">Instructions: </t>
  </si>
  <si>
    <t>Ii (k)</t>
  </si>
  <si>
    <t>Ti (k)</t>
  </si>
  <si>
    <t>%</t>
  </si>
  <si>
    <t>New Avg Number Waiting in Line</t>
  </si>
  <si>
    <t>New Avg Waiting Time</t>
  </si>
  <si>
    <t xml:space="preserve">Create classes of patients who take priority to be checked-in and observe changes to the number of patients waiting in line and their wait time </t>
  </si>
  <si>
    <t>Total</t>
  </si>
  <si>
    <t>delta (difference bt row65 and row28)</t>
  </si>
  <si>
    <t>delta (difference bt row50 and row17)</t>
  </si>
  <si>
    <t>Idea: Target &lt;50% utilization to check-in, 50% free to answer phones/questions</t>
  </si>
  <si>
    <t>Target &lt; 3 minute waiting time</t>
  </si>
  <si>
    <t>Clinic</t>
  </si>
  <si>
    <t>Part 1: Semi-Centralized Check-In Analysis excludes the following departments from the analysis: Radiology, Endocrinology, Pediatrics, and Optical</t>
  </si>
  <si>
    <t>Average Time in System (min, sec) =</t>
  </si>
  <si>
    <t>75th%ile</t>
  </si>
  <si>
    <t>Range of Number of Medical Receptionists Needed by Hour of Day</t>
  </si>
  <si>
    <t>Site1 - Centralized</t>
  </si>
  <si>
    <t>Site1 - By Floors (Total)</t>
  </si>
  <si>
    <t>Site1 - Floor 1</t>
  </si>
  <si>
    <t>Site1 - Floor 2</t>
  </si>
  <si>
    <t>Site1 - Floor 3</t>
  </si>
  <si>
    <t>Range of Medical Recptionists Needed</t>
  </si>
  <si>
    <t>Range of Medical Receptionists Needed</t>
  </si>
  <si>
    <t>Site1 - Semi Centralized (excl some Depts highlighted in interviews)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</si>
</sst>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14">
    <font>
      <sz val="10"/>
      <name val="Geneva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name val="Calibri"/>
      <family val="2"/>
      <scheme val="minor"/>
    </font>
    <font>
      <sz val="10"/>
      <color theme="6" tint="0.59999389629810485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i/>
      <sz val="10"/>
      <color theme="4" tint="0.59999389629810485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name val="Geneva"/>
    </font>
    <font>
      <b/>
      <sz val="10"/>
      <name val="Geneva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4"/>
      </top>
      <bottom/>
      <diagonal/>
    </border>
    <border>
      <left/>
      <right style="medium">
        <color indexed="64"/>
      </right>
      <top style="thin">
        <color theme="4"/>
      </top>
      <bottom/>
      <diagonal/>
    </border>
    <border>
      <left style="medium">
        <color indexed="64"/>
      </left>
      <right/>
      <top style="thin">
        <color theme="4"/>
      </top>
      <bottom style="medium">
        <color indexed="64"/>
      </bottom>
      <diagonal/>
    </border>
    <border>
      <left/>
      <right/>
      <top style="thin">
        <color theme="4"/>
      </top>
      <bottom style="medium">
        <color indexed="64"/>
      </bottom>
      <diagonal/>
    </border>
    <border>
      <left/>
      <right style="medium">
        <color indexed="64"/>
      </right>
      <top style="thin">
        <color theme="4"/>
      </top>
      <bottom style="medium">
        <color indexed="64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/>
      <top style="hair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211">
    <xf numFmtId="0" fontId="0" fillId="0" borderId="0" xfId="0"/>
    <xf numFmtId="0" fontId="3" fillId="0" borderId="0" xfId="0" applyFont="1"/>
    <xf numFmtId="0" fontId="4" fillId="0" borderId="29" xfId="0" applyFont="1" applyBorder="1"/>
    <xf numFmtId="0" fontId="2" fillId="6" borderId="10" xfId="0" applyFont="1" applyFill="1" applyBorder="1"/>
    <xf numFmtId="0" fontId="2" fillId="6" borderId="30" xfId="0" applyNumberFormat="1" applyFont="1" applyFill="1" applyBorder="1" applyAlignment="1">
      <alignment horizontal="center"/>
    </xf>
    <xf numFmtId="0" fontId="2" fillId="6" borderId="31" xfId="0" applyNumberFormat="1" applyFont="1" applyFill="1" applyBorder="1" applyAlignment="1">
      <alignment horizontal="center"/>
    </xf>
    <xf numFmtId="0" fontId="5" fillId="0" borderId="0" xfId="0" applyFont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3" fillId="2" borderId="0" xfId="0" applyFont="1" applyFill="1" applyAlignment="1">
      <alignment horizontal="center"/>
    </xf>
    <xf numFmtId="0" fontId="5" fillId="0" borderId="13" xfId="0" applyFont="1" applyBorder="1" applyAlignment="1">
      <alignment horizontal="center"/>
    </xf>
    <xf numFmtId="0" fontId="5" fillId="4" borderId="13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3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0" fontId="5" fillId="0" borderId="2" xfId="0" applyFont="1" applyBorder="1" applyAlignment="1">
      <alignment horizontal="center"/>
    </xf>
    <xf numFmtId="0" fontId="3" fillId="0" borderId="0" xfId="0" applyFont="1" applyAlignment="1"/>
    <xf numFmtId="165" fontId="3" fillId="0" borderId="0" xfId="0" applyNumberFormat="1" applyFont="1" applyAlignment="1">
      <alignment horizontal="right"/>
    </xf>
    <xf numFmtId="2" fontId="3" fillId="5" borderId="2" xfId="0" applyNumberFormat="1" applyFont="1" applyFill="1" applyBorder="1"/>
    <xf numFmtId="165" fontId="3" fillId="0" borderId="0" xfId="0" applyNumberFormat="1" applyFont="1"/>
    <xf numFmtId="2" fontId="3" fillId="5" borderId="3" xfId="0" applyNumberFormat="1" applyFont="1" applyFill="1" applyBorder="1"/>
    <xf numFmtId="0" fontId="5" fillId="0" borderId="7" xfId="0" applyFont="1" applyBorder="1" applyAlignment="1">
      <alignment horizontal="center"/>
    </xf>
    <xf numFmtId="0" fontId="5" fillId="4" borderId="12" xfId="0" applyFont="1" applyFill="1" applyBorder="1" applyAlignment="1">
      <alignment horizontal="right"/>
    </xf>
    <xf numFmtId="1" fontId="5" fillId="5" borderId="14" xfId="0" applyNumberFormat="1" applyFont="1" applyFill="1" applyBorder="1" applyAlignment="1">
      <alignment horizontal="center" wrapText="1"/>
    </xf>
    <xf numFmtId="1" fontId="5" fillId="5" borderId="15" xfId="0" applyNumberFormat="1" applyFont="1" applyFill="1" applyBorder="1" applyAlignment="1">
      <alignment horizontal="center" wrapText="1"/>
    </xf>
    <xf numFmtId="0" fontId="3" fillId="4" borderId="0" xfId="0" applyFont="1" applyFill="1" applyBorder="1"/>
    <xf numFmtId="0" fontId="3" fillId="4" borderId="0" xfId="0" applyFont="1" applyFill="1" applyBorder="1" applyAlignment="1">
      <alignment horizontal="right"/>
    </xf>
    <xf numFmtId="164" fontId="3" fillId="4" borderId="19" xfId="0" applyNumberFormat="1" applyFont="1" applyFill="1" applyBorder="1" applyAlignment="1">
      <alignment horizontal="right"/>
    </xf>
    <xf numFmtId="164" fontId="3" fillId="4" borderId="20" xfId="0" applyNumberFormat="1" applyFont="1" applyFill="1" applyBorder="1" applyAlignment="1">
      <alignment horizontal="right"/>
    </xf>
    <xf numFmtId="0" fontId="3" fillId="4" borderId="5" xfId="0" applyFont="1" applyFill="1" applyBorder="1"/>
    <xf numFmtId="0" fontId="3" fillId="4" borderId="5" xfId="0" applyFont="1" applyFill="1" applyBorder="1" applyAlignment="1">
      <alignment horizontal="right"/>
    </xf>
    <xf numFmtId="164" fontId="3" fillId="4" borderId="11" xfId="0" applyNumberFormat="1" applyFont="1" applyFill="1" applyBorder="1" applyAlignment="1">
      <alignment horizontal="right"/>
    </xf>
    <xf numFmtId="164" fontId="3" fillId="4" borderId="3" xfId="0" applyNumberFormat="1" applyFont="1" applyFill="1" applyBorder="1" applyAlignment="1">
      <alignment horizontal="right"/>
    </xf>
    <xf numFmtId="0" fontId="5" fillId="4" borderId="0" xfId="0" applyFont="1" applyFill="1" applyBorder="1" applyAlignment="1">
      <alignment horizontal="right"/>
    </xf>
    <xf numFmtId="2" fontId="5" fillId="4" borderId="21" xfId="0" applyNumberFormat="1" applyFont="1" applyFill="1" applyBorder="1" applyAlignment="1">
      <alignment horizontal="right"/>
    </xf>
    <xf numFmtId="2" fontId="5" fillId="4" borderId="24" xfId="0" applyNumberFormat="1" applyFont="1" applyFill="1" applyBorder="1" applyAlignment="1">
      <alignment horizontal="right"/>
    </xf>
    <xf numFmtId="2" fontId="3" fillId="4" borderId="7" xfId="0" applyNumberFormat="1" applyFont="1" applyFill="1" applyBorder="1" applyAlignment="1">
      <alignment horizontal="right"/>
    </xf>
    <xf numFmtId="2" fontId="3" fillId="4" borderId="2" xfId="0" applyNumberFormat="1" applyFont="1" applyFill="1" applyBorder="1" applyAlignment="1">
      <alignment horizontal="right"/>
    </xf>
    <xf numFmtId="0" fontId="5" fillId="4" borderId="0" xfId="0" applyFont="1" applyFill="1" applyBorder="1" applyAlignment="1">
      <alignment horizontal="right" vertical="center"/>
    </xf>
    <xf numFmtId="0" fontId="7" fillId="0" borderId="0" xfId="0" applyFont="1"/>
    <xf numFmtId="1" fontId="5" fillId="5" borderId="13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left" vertical="center" wrapText="1"/>
    </xf>
    <xf numFmtId="1" fontId="3" fillId="4" borderId="7" xfId="0" applyNumberFormat="1" applyFont="1" applyFill="1" applyBorder="1" applyAlignment="1">
      <alignment horizontal="right" vertical="center"/>
    </xf>
    <xf numFmtId="1" fontId="3" fillId="4" borderId="2" xfId="0" applyNumberFormat="1" applyFont="1" applyFill="1" applyBorder="1" applyAlignment="1">
      <alignment horizontal="right" vertical="center"/>
    </xf>
    <xf numFmtId="9" fontId="5" fillId="4" borderId="21" xfId="2" applyFont="1" applyFill="1" applyBorder="1" applyAlignment="1">
      <alignment horizontal="right"/>
    </xf>
    <xf numFmtId="9" fontId="5" fillId="4" borderId="24" xfId="2" applyFont="1" applyFill="1" applyBorder="1" applyAlignment="1">
      <alignment horizontal="right"/>
    </xf>
    <xf numFmtId="2" fontId="7" fillId="0" borderId="0" xfId="2" applyNumberFormat="1" applyFont="1" applyFill="1" applyBorder="1"/>
    <xf numFmtId="2" fontId="3" fillId="0" borderId="0" xfId="2" applyNumberFormat="1" applyFont="1" applyFill="1" applyBorder="1"/>
    <xf numFmtId="2" fontId="3" fillId="4" borderId="22" xfId="0" applyNumberFormat="1" applyFont="1" applyFill="1" applyBorder="1" applyAlignment="1">
      <alignment horizontal="right"/>
    </xf>
    <xf numFmtId="2" fontId="3" fillId="4" borderId="23" xfId="0" applyNumberFormat="1" applyFont="1" applyFill="1" applyBorder="1" applyAlignment="1">
      <alignment horizontal="right"/>
    </xf>
    <xf numFmtId="2" fontId="3" fillId="0" borderId="0" xfId="0" applyNumberFormat="1" applyFont="1"/>
    <xf numFmtId="0" fontId="3" fillId="4" borderId="4" xfId="0" applyFont="1" applyFill="1" applyBorder="1"/>
    <xf numFmtId="0" fontId="5" fillId="4" borderId="4" xfId="0" applyFont="1" applyFill="1" applyBorder="1" applyAlignment="1">
      <alignment horizontal="right"/>
    </xf>
    <xf numFmtId="0" fontId="3" fillId="3" borderId="0" xfId="0" applyFont="1" applyFill="1" applyBorder="1"/>
    <xf numFmtId="0" fontId="5" fillId="3" borderId="0" xfId="0" applyFont="1" applyFill="1" applyBorder="1" applyAlignment="1">
      <alignment horizontal="right"/>
    </xf>
    <xf numFmtId="1" fontId="5" fillId="5" borderId="17" xfId="0" applyNumberFormat="1" applyFont="1" applyFill="1" applyBorder="1" applyAlignment="1">
      <alignment horizontal="center" wrapText="1"/>
    </xf>
    <xf numFmtId="1" fontId="5" fillId="5" borderId="16" xfId="0" applyNumberFormat="1" applyFont="1" applyFill="1" applyBorder="1" applyAlignment="1">
      <alignment horizontal="center" wrapText="1"/>
    </xf>
    <xf numFmtId="0" fontId="3" fillId="3" borderId="0" xfId="0" applyFont="1" applyFill="1" applyBorder="1" applyAlignment="1">
      <alignment horizontal="right"/>
    </xf>
    <xf numFmtId="164" fontId="3" fillId="3" borderId="19" xfId="0" applyNumberFormat="1" applyFont="1" applyFill="1" applyBorder="1" applyAlignment="1">
      <alignment horizontal="right"/>
    </xf>
    <xf numFmtId="164" fontId="3" fillId="3" borderId="20" xfId="0" applyNumberFormat="1" applyFont="1" applyFill="1" applyBorder="1" applyAlignment="1">
      <alignment horizontal="right"/>
    </xf>
    <xf numFmtId="0" fontId="3" fillId="3" borderId="5" xfId="0" applyFont="1" applyFill="1" applyBorder="1"/>
    <xf numFmtId="0" fontId="3" fillId="3" borderId="5" xfId="0" applyFont="1" applyFill="1" applyBorder="1" applyAlignment="1">
      <alignment horizontal="right"/>
    </xf>
    <xf numFmtId="164" fontId="3" fillId="3" borderId="11" xfId="0" applyNumberFormat="1" applyFont="1" applyFill="1" applyBorder="1" applyAlignment="1">
      <alignment horizontal="right"/>
    </xf>
    <xf numFmtId="164" fontId="3" fillId="3" borderId="3" xfId="0" applyNumberFormat="1" applyFont="1" applyFill="1" applyBorder="1" applyAlignment="1">
      <alignment horizontal="right"/>
    </xf>
    <xf numFmtId="0" fontId="6" fillId="3" borderId="6" xfId="0" applyFont="1" applyFill="1" applyBorder="1"/>
    <xf numFmtId="0" fontId="5" fillId="3" borderId="0" xfId="0" applyFont="1" applyFill="1" applyBorder="1" applyAlignment="1">
      <alignment horizontal="right" vertical="top"/>
    </xf>
    <xf numFmtId="2" fontId="5" fillId="3" borderId="21" xfId="0" applyNumberFormat="1" applyFont="1" applyFill="1" applyBorder="1" applyAlignment="1">
      <alignment horizontal="right" vertical="top"/>
    </xf>
    <xf numFmtId="2" fontId="5" fillId="3" borderId="24" xfId="0" applyNumberFormat="1" applyFont="1" applyFill="1" applyBorder="1" applyAlignment="1">
      <alignment horizontal="right" vertical="top"/>
    </xf>
    <xf numFmtId="2" fontId="3" fillId="3" borderId="25" xfId="0" applyNumberFormat="1" applyFont="1" applyFill="1" applyBorder="1" applyAlignment="1">
      <alignment horizontal="right"/>
    </xf>
    <xf numFmtId="2" fontId="3" fillId="3" borderId="26" xfId="0" applyNumberFormat="1" applyFont="1" applyFill="1" applyBorder="1" applyAlignment="1">
      <alignment horizontal="right"/>
    </xf>
    <xf numFmtId="2" fontId="3" fillId="0" borderId="0" xfId="0" applyNumberFormat="1" applyFont="1" applyFill="1" applyBorder="1"/>
    <xf numFmtId="0" fontId="5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1" fontId="3" fillId="3" borderId="7" xfId="0" applyNumberFormat="1" applyFont="1" applyFill="1" applyBorder="1" applyAlignment="1">
      <alignment horizontal="right" vertical="center"/>
    </xf>
    <xf numFmtId="0" fontId="5" fillId="3" borderId="12" xfId="0" applyFont="1" applyFill="1" applyBorder="1" applyAlignment="1">
      <alignment horizontal="right"/>
    </xf>
    <xf numFmtId="9" fontId="5" fillId="3" borderId="21" xfId="2" applyFont="1" applyFill="1" applyBorder="1" applyAlignment="1">
      <alignment horizontal="right"/>
    </xf>
    <xf numFmtId="9" fontId="5" fillId="3" borderId="24" xfId="2" applyFont="1" applyFill="1" applyBorder="1" applyAlignment="1">
      <alignment horizontal="right"/>
    </xf>
    <xf numFmtId="0" fontId="3" fillId="0" borderId="0" xfId="0" applyFont="1" applyFill="1" applyBorder="1"/>
    <xf numFmtId="0" fontId="5" fillId="0" borderId="0" xfId="0" applyFont="1" applyFill="1" applyBorder="1" applyAlignment="1">
      <alignment horizontal="right"/>
    </xf>
    <xf numFmtId="2" fontId="5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7" fillId="4" borderId="0" xfId="0" applyFont="1" applyFill="1" applyAlignment="1">
      <alignment horizontal="right"/>
    </xf>
    <xf numFmtId="0" fontId="6" fillId="4" borderId="0" xfId="0" applyFont="1" applyFill="1"/>
    <xf numFmtId="0" fontId="5" fillId="0" borderId="0" xfId="0" applyFont="1" applyFill="1" applyBorder="1" applyAlignment="1">
      <alignment horizontal="center"/>
    </xf>
    <xf numFmtId="0" fontId="6" fillId="0" borderId="0" xfId="0" applyFont="1" applyFill="1" applyBorder="1"/>
    <xf numFmtId="9" fontId="3" fillId="0" borderId="0" xfId="2" applyFont="1" applyAlignment="1">
      <alignment horizontal="center"/>
    </xf>
    <xf numFmtId="0" fontId="8" fillId="4" borderId="0" xfId="0" applyFont="1" applyFill="1" applyAlignment="1">
      <alignment horizontal="right"/>
    </xf>
    <xf numFmtId="2" fontId="3" fillId="4" borderId="0" xfId="0" applyNumberFormat="1" applyFont="1" applyFill="1"/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center"/>
    </xf>
    <xf numFmtId="0" fontId="9" fillId="0" borderId="0" xfId="0" applyFont="1" applyFill="1" applyBorder="1"/>
    <xf numFmtId="9" fontId="5" fillId="5" borderId="13" xfId="2" applyFont="1" applyFill="1" applyBorder="1" applyAlignment="1">
      <alignment horizontal="center" vertical="center" wrapText="1"/>
    </xf>
    <xf numFmtId="165" fontId="5" fillId="0" borderId="0" xfId="0" applyNumberFormat="1" applyFont="1" applyFill="1" applyBorder="1" applyAlignment="1">
      <alignment horizontal="center" vertical="center" wrapText="1"/>
    </xf>
    <xf numFmtId="2" fontId="3" fillId="4" borderId="27" xfId="0" applyNumberFormat="1" applyFont="1" applyFill="1" applyBorder="1"/>
    <xf numFmtId="9" fontId="5" fillId="0" borderId="0" xfId="2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right"/>
    </xf>
    <xf numFmtId="9" fontId="3" fillId="0" borderId="0" xfId="2" applyFont="1" applyFill="1" applyBorder="1" applyAlignment="1">
      <alignment horizontal="center"/>
    </xf>
    <xf numFmtId="0" fontId="3" fillId="4" borderId="0" xfId="0" applyFont="1" applyFill="1" applyAlignment="1">
      <alignment horizontal="right"/>
    </xf>
    <xf numFmtId="9" fontId="3" fillId="0" borderId="13" xfId="2" applyFont="1" applyFill="1" applyBorder="1" applyAlignment="1">
      <alignment horizontal="center" vertical="center" wrapText="1"/>
    </xf>
    <xf numFmtId="9" fontId="3" fillId="0" borderId="0" xfId="2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right" vertical="center"/>
    </xf>
    <xf numFmtId="0" fontId="6" fillId="4" borderId="0" xfId="0" applyFont="1" applyFill="1" applyBorder="1" applyAlignment="1">
      <alignment horizontal="right" vertical="center" wrapText="1"/>
    </xf>
    <xf numFmtId="9" fontId="3" fillId="0" borderId="0" xfId="2" applyFont="1" applyFill="1" applyBorder="1"/>
    <xf numFmtId="0" fontId="5" fillId="3" borderId="0" xfId="0" applyFont="1" applyFill="1" applyAlignment="1">
      <alignment horizontal="right"/>
    </xf>
    <xf numFmtId="0" fontId="7" fillId="3" borderId="0" xfId="0" applyFont="1" applyFill="1" applyBorder="1" applyAlignment="1">
      <alignment horizontal="right"/>
    </xf>
    <xf numFmtId="0" fontId="10" fillId="3" borderId="0" xfId="0" applyNumberFormat="1" applyFont="1" applyFill="1" applyBorder="1" applyAlignment="1">
      <alignment horizontal="right"/>
    </xf>
    <xf numFmtId="2" fontId="3" fillId="3" borderId="6" xfId="0" applyNumberFormat="1" applyFont="1" applyFill="1" applyBorder="1"/>
    <xf numFmtId="2" fontId="3" fillId="3" borderId="28" xfId="0" applyNumberFormat="1" applyFont="1" applyFill="1" applyBorder="1"/>
    <xf numFmtId="0" fontId="7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right" vertical="center" wrapText="1"/>
    </xf>
    <xf numFmtId="0" fontId="3" fillId="0" borderId="0" xfId="0" applyFont="1" applyFill="1"/>
    <xf numFmtId="2" fontId="3" fillId="3" borderId="7" xfId="0" applyNumberFormat="1" applyFont="1" applyFill="1" applyBorder="1" applyAlignment="1">
      <alignment horizontal="right"/>
    </xf>
    <xf numFmtId="9" fontId="5" fillId="3" borderId="21" xfId="2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>
      <alignment horizontal="right" vertical="center"/>
    </xf>
    <xf numFmtId="165" fontId="6" fillId="4" borderId="0" xfId="0" applyNumberFormat="1" applyFont="1" applyFill="1" applyBorder="1" applyAlignment="1">
      <alignment horizontal="right" vertical="center"/>
    </xf>
    <xf numFmtId="1" fontId="5" fillId="3" borderId="22" xfId="0" applyNumberFormat="1" applyFont="1" applyFill="1" applyBorder="1" applyAlignment="1">
      <alignment horizontal="right" vertical="center"/>
    </xf>
    <xf numFmtId="1" fontId="5" fillId="3" borderId="26" xfId="0" applyNumberFormat="1" applyFont="1" applyFill="1" applyBorder="1" applyAlignment="1">
      <alignment horizontal="right" vertical="center"/>
    </xf>
    <xf numFmtId="1" fontId="3" fillId="4" borderId="22" xfId="0" applyNumberFormat="1" applyFont="1" applyFill="1" applyBorder="1" applyAlignment="1">
      <alignment horizontal="right" vertical="center"/>
    </xf>
    <xf numFmtId="1" fontId="3" fillId="3" borderId="22" xfId="0" applyNumberFormat="1" applyFont="1" applyFill="1" applyBorder="1" applyAlignment="1">
      <alignment horizontal="right" vertical="center"/>
    </xf>
    <xf numFmtId="0" fontId="5" fillId="0" borderId="0" xfId="0" applyFont="1"/>
    <xf numFmtId="2" fontId="5" fillId="0" borderId="0" xfId="0" applyNumberFormat="1" applyFont="1" applyFill="1" applyBorder="1" applyAlignment="1">
      <alignment horizontal="left"/>
    </xf>
    <xf numFmtId="165" fontId="6" fillId="3" borderId="0" xfId="0" applyNumberFormat="1" applyFont="1" applyFill="1" applyBorder="1" applyAlignment="1">
      <alignment horizontal="right" vertical="center"/>
    </xf>
    <xf numFmtId="0" fontId="7" fillId="3" borderId="37" xfId="0" applyFont="1" applyFill="1" applyBorder="1" applyAlignment="1">
      <alignment horizontal="right"/>
    </xf>
    <xf numFmtId="2" fontId="6" fillId="3" borderId="38" xfId="0" applyNumberFormat="1" applyFont="1" applyFill="1" applyBorder="1"/>
    <xf numFmtId="0" fontId="7" fillId="4" borderId="37" xfId="0" applyFont="1" applyFill="1" applyBorder="1" applyAlignment="1">
      <alignment horizontal="right"/>
    </xf>
    <xf numFmtId="0" fontId="6" fillId="4" borderId="37" xfId="0" applyFont="1" applyFill="1" applyBorder="1"/>
    <xf numFmtId="0" fontId="11" fillId="0" borderId="0" xfId="0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11" fillId="0" borderId="29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11" fillId="0" borderId="35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4" fillId="0" borderId="40" xfId="0" applyFont="1" applyFill="1" applyBorder="1" applyAlignment="1">
      <alignment horizontal="left" indent="1"/>
    </xf>
    <xf numFmtId="0" fontId="4" fillId="0" borderId="8" xfId="0" applyFont="1" applyFill="1" applyBorder="1" applyAlignment="1">
      <alignment horizontal="left" indent="1"/>
    </xf>
    <xf numFmtId="0" fontId="4" fillId="0" borderId="42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11" fillId="0" borderId="32" xfId="0" applyFont="1" applyFill="1" applyBorder="1" applyAlignment="1">
      <alignment horizontal="left" indent="7"/>
    </xf>
    <xf numFmtId="0" fontId="11" fillId="0" borderId="34" xfId="0" applyFont="1" applyFill="1" applyBorder="1" applyAlignment="1">
      <alignment horizontal="left" indent="7"/>
    </xf>
    <xf numFmtId="0" fontId="5" fillId="4" borderId="5" xfId="0" applyFont="1" applyFill="1" applyBorder="1" applyAlignment="1">
      <alignment horizontal="right"/>
    </xf>
    <xf numFmtId="2" fontId="5" fillId="4" borderId="11" xfId="0" applyNumberFormat="1" applyFont="1" applyFill="1" applyBorder="1" applyAlignment="1">
      <alignment horizontal="right"/>
    </xf>
    <xf numFmtId="2" fontId="5" fillId="4" borderId="3" xfId="0" applyNumberFormat="1" applyFont="1" applyFill="1" applyBorder="1" applyAlignment="1">
      <alignment horizontal="right"/>
    </xf>
    <xf numFmtId="1" fontId="5" fillId="4" borderId="18" xfId="0" applyNumberFormat="1" applyFont="1" applyFill="1" applyBorder="1" applyAlignment="1">
      <alignment horizontal="right" vertical="center"/>
    </xf>
    <xf numFmtId="2" fontId="5" fillId="4" borderId="7" xfId="0" applyNumberFormat="1" applyFont="1" applyFill="1" applyBorder="1" applyAlignment="1">
      <alignment horizontal="right"/>
    </xf>
    <xf numFmtId="2" fontId="5" fillId="4" borderId="2" xfId="0" applyNumberFormat="1" applyFont="1" applyFill="1" applyBorder="1" applyAlignment="1">
      <alignment horizontal="right"/>
    </xf>
    <xf numFmtId="2" fontId="5" fillId="3" borderId="7" xfId="0" applyNumberFormat="1" applyFont="1" applyFill="1" applyBorder="1" applyAlignment="1">
      <alignment horizontal="right"/>
    </xf>
    <xf numFmtId="2" fontId="5" fillId="3" borderId="2" xfId="0" applyNumberFormat="1" applyFont="1" applyFill="1" applyBorder="1" applyAlignment="1">
      <alignment horizontal="right"/>
    </xf>
    <xf numFmtId="0" fontId="5" fillId="4" borderId="10" xfId="0" applyFont="1" applyFill="1" applyBorder="1"/>
    <xf numFmtId="0" fontId="3" fillId="4" borderId="43" xfId="0" applyFont="1" applyFill="1" applyBorder="1"/>
    <xf numFmtId="0" fontId="5" fillId="4" borderId="43" xfId="0" applyFont="1" applyFill="1" applyBorder="1" applyAlignment="1">
      <alignment horizontal="right"/>
    </xf>
    <xf numFmtId="1" fontId="5" fillId="5" borderId="44" xfId="0" applyNumberFormat="1" applyFont="1" applyFill="1" applyBorder="1" applyAlignment="1">
      <alignment horizontal="center" wrapText="1"/>
    </xf>
    <xf numFmtId="0" fontId="3" fillId="4" borderId="40" xfId="0" applyFont="1" applyFill="1" applyBorder="1"/>
    <xf numFmtId="164" fontId="3" fillId="4" borderId="45" xfId="0" applyNumberFormat="1" applyFont="1" applyFill="1" applyBorder="1" applyAlignment="1">
      <alignment horizontal="right"/>
    </xf>
    <xf numFmtId="0" fontId="3" fillId="4" borderId="46" xfId="0" applyFont="1" applyFill="1" applyBorder="1"/>
    <xf numFmtId="164" fontId="3" fillId="4" borderId="47" xfId="0" applyNumberFormat="1" applyFont="1" applyFill="1" applyBorder="1" applyAlignment="1">
      <alignment horizontal="right"/>
    </xf>
    <xf numFmtId="0" fontId="6" fillId="4" borderId="40" xfId="0" applyFont="1" applyFill="1" applyBorder="1"/>
    <xf numFmtId="2" fontId="5" fillId="4" borderId="48" xfId="0" applyNumberFormat="1" applyFont="1" applyFill="1" applyBorder="1" applyAlignment="1">
      <alignment horizontal="right"/>
    </xf>
    <xf numFmtId="2" fontId="3" fillId="4" borderId="49" xfId="0" applyNumberFormat="1" applyFont="1" applyFill="1" applyBorder="1" applyAlignment="1">
      <alignment horizontal="right"/>
    </xf>
    <xf numFmtId="0" fontId="3" fillId="4" borderId="40" xfId="0" applyFont="1" applyFill="1" applyBorder="1" applyAlignment="1">
      <alignment vertical="top"/>
    </xf>
    <xf numFmtId="1" fontId="5" fillId="4" borderId="50" xfId="0" applyNumberFormat="1" applyFont="1" applyFill="1" applyBorder="1" applyAlignment="1">
      <alignment horizontal="right" vertical="center"/>
    </xf>
    <xf numFmtId="0" fontId="3" fillId="4" borderId="40" xfId="0" applyFont="1" applyFill="1" applyBorder="1" applyAlignment="1">
      <alignment horizontal="center" vertical="center" wrapText="1"/>
    </xf>
    <xf numFmtId="1" fontId="3" fillId="4" borderId="49" xfId="0" applyNumberFormat="1" applyFont="1" applyFill="1" applyBorder="1" applyAlignment="1">
      <alignment horizontal="right" vertical="center"/>
    </xf>
    <xf numFmtId="0" fontId="6" fillId="4" borderId="51" xfId="0" applyFont="1" applyFill="1" applyBorder="1"/>
    <xf numFmtId="9" fontId="5" fillId="4" borderId="48" xfId="2" applyFont="1" applyFill="1" applyBorder="1" applyAlignment="1">
      <alignment horizontal="right"/>
    </xf>
    <xf numFmtId="2" fontId="3" fillId="4" borderId="52" xfId="0" applyNumberFormat="1" applyFont="1" applyFill="1" applyBorder="1" applyAlignment="1">
      <alignment horizontal="right"/>
    </xf>
    <xf numFmtId="2" fontId="5" fillId="4" borderId="49" xfId="0" applyNumberFormat="1" applyFont="1" applyFill="1" applyBorder="1" applyAlignment="1">
      <alignment horizontal="right"/>
    </xf>
    <xf numFmtId="0" fontId="3" fillId="4" borderId="53" xfId="0" applyFont="1" applyFill="1" applyBorder="1"/>
    <xf numFmtId="1" fontId="5" fillId="4" borderId="54" xfId="0" applyNumberFormat="1" applyFont="1" applyFill="1" applyBorder="1" applyAlignment="1">
      <alignment horizontal="right" vertical="center"/>
    </xf>
    <xf numFmtId="0" fontId="5" fillId="3" borderId="40" xfId="0" applyFont="1" applyFill="1" applyBorder="1"/>
    <xf numFmtId="1" fontId="5" fillId="5" borderId="55" xfId="0" applyNumberFormat="1" applyFont="1" applyFill="1" applyBorder="1" applyAlignment="1">
      <alignment horizontal="center" wrapText="1"/>
    </xf>
    <xf numFmtId="0" fontId="3" fillId="3" borderId="40" xfId="0" applyFont="1" applyFill="1" applyBorder="1"/>
    <xf numFmtId="164" fontId="3" fillId="3" borderId="45" xfId="0" applyNumberFormat="1" applyFont="1" applyFill="1" applyBorder="1" applyAlignment="1">
      <alignment horizontal="right"/>
    </xf>
    <xf numFmtId="0" fontId="3" fillId="3" borderId="46" xfId="0" applyFont="1" applyFill="1" applyBorder="1"/>
    <xf numFmtId="164" fontId="3" fillId="3" borderId="47" xfId="0" applyNumberFormat="1" applyFont="1" applyFill="1" applyBorder="1" applyAlignment="1">
      <alignment horizontal="right"/>
    </xf>
    <xf numFmtId="0" fontId="6" fillId="3" borderId="40" xfId="0" applyFont="1" applyFill="1" applyBorder="1"/>
    <xf numFmtId="2" fontId="5" fillId="3" borderId="48" xfId="0" applyNumberFormat="1" applyFont="1" applyFill="1" applyBorder="1" applyAlignment="1">
      <alignment horizontal="right" vertical="top"/>
    </xf>
    <xf numFmtId="2" fontId="3" fillId="3" borderId="56" xfId="0" applyNumberFormat="1" applyFont="1" applyFill="1" applyBorder="1" applyAlignment="1">
      <alignment horizontal="right"/>
    </xf>
    <xf numFmtId="1" fontId="5" fillId="3" borderId="56" xfId="0" applyNumberFormat="1" applyFont="1" applyFill="1" applyBorder="1" applyAlignment="1">
      <alignment horizontal="right" vertical="center"/>
    </xf>
    <xf numFmtId="0" fontId="3" fillId="3" borderId="40" xfId="0" applyFont="1" applyFill="1" applyBorder="1" applyAlignment="1">
      <alignment vertical="center" wrapText="1"/>
    </xf>
    <xf numFmtId="1" fontId="3" fillId="3" borderId="39" xfId="0" applyNumberFormat="1" applyFont="1" applyFill="1" applyBorder="1" applyAlignment="1">
      <alignment horizontal="right" vertical="center"/>
    </xf>
    <xf numFmtId="0" fontId="6" fillId="3" borderId="51" xfId="0" applyFont="1" applyFill="1" applyBorder="1"/>
    <xf numFmtId="9" fontId="5" fillId="3" borderId="48" xfId="2" applyFont="1" applyFill="1" applyBorder="1" applyAlignment="1">
      <alignment horizontal="right"/>
    </xf>
    <xf numFmtId="2" fontId="5" fillId="3" borderId="49" xfId="0" applyNumberFormat="1" applyFont="1" applyFill="1" applyBorder="1" applyAlignment="1">
      <alignment horizontal="right"/>
    </xf>
    <xf numFmtId="0" fontId="3" fillId="3" borderId="53" xfId="0" applyFont="1" applyFill="1" applyBorder="1"/>
    <xf numFmtId="0" fontId="3" fillId="3" borderId="4" xfId="0" applyFont="1" applyFill="1" applyBorder="1"/>
    <xf numFmtId="0" fontId="5" fillId="3" borderId="4" xfId="0" applyFont="1" applyFill="1" applyBorder="1" applyAlignment="1">
      <alignment horizontal="right"/>
    </xf>
    <xf numFmtId="2" fontId="5" fillId="3" borderId="4" xfId="0" applyNumberFormat="1" applyFont="1" applyFill="1" applyBorder="1" applyAlignment="1">
      <alignment horizontal="right"/>
    </xf>
    <xf numFmtId="2" fontId="5" fillId="3" borderId="54" xfId="0" applyNumberFormat="1" applyFont="1" applyFill="1" applyBorder="1" applyAlignment="1">
      <alignment horizontal="right"/>
    </xf>
    <xf numFmtId="2" fontId="5" fillId="4" borderId="47" xfId="0" applyNumberFormat="1" applyFont="1" applyFill="1" applyBorder="1" applyAlignment="1">
      <alignment horizontal="right"/>
    </xf>
    <xf numFmtId="1" fontId="5" fillId="3" borderId="18" xfId="0" applyNumberFormat="1" applyFont="1" applyFill="1" applyBorder="1" applyAlignment="1">
      <alignment horizontal="right" vertical="center"/>
    </xf>
    <xf numFmtId="1" fontId="5" fillId="3" borderId="16" xfId="0" applyNumberFormat="1" applyFont="1" applyFill="1" applyBorder="1" applyAlignment="1">
      <alignment horizontal="right" vertical="center"/>
    </xf>
    <xf numFmtId="1" fontId="5" fillId="3" borderId="55" xfId="0" applyNumberFormat="1" applyFont="1" applyFill="1" applyBorder="1" applyAlignment="1">
      <alignment horizontal="right" vertical="center"/>
    </xf>
    <xf numFmtId="164" fontId="3" fillId="4" borderId="57" xfId="0" applyNumberFormat="1" applyFont="1" applyFill="1" applyBorder="1" applyAlignment="1">
      <alignment horizontal="right"/>
    </xf>
    <xf numFmtId="9" fontId="5" fillId="4" borderId="58" xfId="2" applyFont="1" applyFill="1" applyBorder="1" applyAlignment="1">
      <alignment horizontal="right"/>
    </xf>
    <xf numFmtId="2" fontId="3" fillId="3" borderId="39" xfId="0" applyNumberFormat="1" applyFont="1" applyFill="1" applyBorder="1" applyAlignment="1">
      <alignment horizontal="right"/>
    </xf>
    <xf numFmtId="1" fontId="5" fillId="3" borderId="50" xfId="0" applyNumberFormat="1" applyFont="1" applyFill="1" applyBorder="1" applyAlignment="1">
      <alignment horizontal="right" vertical="center"/>
    </xf>
    <xf numFmtId="9" fontId="5" fillId="3" borderId="58" xfId="2" applyFont="1" applyFill="1" applyBorder="1" applyAlignment="1">
      <alignment horizontal="right"/>
    </xf>
    <xf numFmtId="1" fontId="5" fillId="3" borderId="54" xfId="0" applyNumberFormat="1" applyFont="1" applyFill="1" applyBorder="1" applyAlignment="1">
      <alignment horizontal="right" vertical="center"/>
    </xf>
    <xf numFmtId="0" fontId="11" fillId="0" borderId="0" xfId="0" applyFont="1" applyFill="1" applyBorder="1" applyAlignment="1">
      <alignment horizontal="left" indent="7"/>
    </xf>
    <xf numFmtId="0" fontId="12" fillId="0" borderId="0" xfId="0" applyFont="1" applyAlignment="1">
      <alignment horizontal="center"/>
    </xf>
    <xf numFmtId="0" fontId="0" fillId="0" borderId="0" xfId="0" quotePrefix="1"/>
    <xf numFmtId="0" fontId="13" fillId="0" borderId="0" xfId="0" applyFont="1"/>
    <xf numFmtId="2" fontId="5" fillId="0" borderId="7" xfId="0" applyNumberFormat="1" applyFont="1" applyBorder="1" applyAlignment="1">
      <alignment horizontal="center"/>
    </xf>
    <xf numFmtId="1" fontId="5" fillId="5" borderId="8" xfId="0" applyNumberFormat="1" applyFont="1" applyFill="1" applyBorder="1" applyAlignment="1">
      <alignment horizontal="center"/>
    </xf>
    <xf numFmtId="1" fontId="5" fillId="5" borderId="9" xfId="0" applyNumberFormat="1" applyFont="1" applyFill="1" applyBorder="1" applyAlignment="1">
      <alignment horizontal="center"/>
    </xf>
    <xf numFmtId="0" fontId="4" fillId="0" borderId="40" xfId="0" applyFont="1" applyFill="1" applyBorder="1" applyAlignment="1">
      <alignment horizontal="left" vertical="top" wrapText="1" indent="1"/>
    </xf>
    <xf numFmtId="0" fontId="4" fillId="0" borderId="27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</cellXfs>
  <cellStyles count="3">
    <cellStyle name="Normal" xfId="0" builtinId="0"/>
    <cellStyle name="Normal 2" xfId="1"/>
    <cellStyle name="Percent" xfId="2" builtinId="5"/>
  </cellStyles>
  <dxfs count="107"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5"/>
      </font>
      <fill>
        <patternFill>
          <bgColor rgb="FFFDF899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5"/>
      </font>
      <fill>
        <patternFill>
          <bgColor rgb="FFFDF8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5"/>
      </font>
      <fill>
        <patternFill>
          <bgColor rgb="FFFDF899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5"/>
      </font>
      <fill>
        <patternFill>
          <bgColor rgb="FFFDF8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5"/>
      </font>
      <fill>
        <patternFill>
          <bgColor rgb="FFFDF899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5"/>
      </font>
      <fill>
        <patternFill>
          <bgColor rgb="FFFDF8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5"/>
      </font>
      <fill>
        <patternFill>
          <bgColor rgb="FFFDF899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5"/>
      </font>
      <fill>
        <patternFill>
          <bgColor rgb="FFFDF8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6500"/>
      </font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6500"/>
      </font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rgb="FFFDF899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5"/>
      </font>
      <fill>
        <patternFill>
          <bgColor rgb="FFFDF8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6500"/>
      </font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DDFFFF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DF8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929640</xdr:colOff>
      <xdr:row>4</xdr:row>
      <xdr:rowOff>30480</xdr:rowOff>
    </xdr:from>
    <xdr:to>
      <xdr:col>2</xdr:col>
      <xdr:colOff>2026920</xdr:colOff>
      <xdr:row>4</xdr:row>
      <xdr:rowOff>160020</xdr:rowOff>
    </xdr:to>
    <xdr:sp macro="" textlink="">
      <xdr:nvSpPr>
        <xdr:cNvPr id="2" name="Right Arrow 1"/>
        <xdr:cNvSpPr/>
      </xdr:nvSpPr>
      <xdr:spPr bwMode="auto">
        <a:xfrm>
          <a:off x="2369820" y="708660"/>
          <a:ext cx="1097280" cy="129540"/>
        </a:xfrm>
        <a:prstGeom prst="right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434340</xdr:colOff>
      <xdr:row>0</xdr:row>
      <xdr:rowOff>121920</xdr:rowOff>
    </xdr:from>
    <xdr:to>
      <xdr:col>19</xdr:col>
      <xdr:colOff>76200</xdr:colOff>
      <xdr:row>9</xdr:row>
      <xdr:rowOff>99060</xdr:rowOff>
    </xdr:to>
    <xdr:sp macro="" textlink="">
      <xdr:nvSpPr>
        <xdr:cNvPr id="4" name="TextBox 3"/>
        <xdr:cNvSpPr txBox="1"/>
      </xdr:nvSpPr>
      <xdr:spPr>
        <a:xfrm>
          <a:off x="10126980" y="121920"/>
          <a:ext cx="3268980" cy="1501140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Targets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Number Waiting in Line LESS THAN 5</a:t>
          </a:r>
          <a:endParaRPr lang="en-US">
            <a:effectLst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Waiting Time LESS THAN 3 minutes</a:t>
          </a:r>
          <a:endParaRPr lang="en-US">
            <a:effectLst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Utilization of Servers LESS THAN 50%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929640</xdr:colOff>
      <xdr:row>4</xdr:row>
      <xdr:rowOff>30480</xdr:rowOff>
    </xdr:from>
    <xdr:to>
      <xdr:col>2</xdr:col>
      <xdr:colOff>2026920</xdr:colOff>
      <xdr:row>4</xdr:row>
      <xdr:rowOff>160020</xdr:rowOff>
    </xdr:to>
    <xdr:sp macro="" textlink="">
      <xdr:nvSpPr>
        <xdr:cNvPr id="2" name="Right Arrow 1"/>
        <xdr:cNvSpPr/>
      </xdr:nvSpPr>
      <xdr:spPr bwMode="auto">
        <a:xfrm>
          <a:off x="2369820" y="739140"/>
          <a:ext cx="1097280" cy="129540"/>
        </a:xfrm>
        <a:prstGeom prst="right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434340</xdr:colOff>
      <xdr:row>0</xdr:row>
      <xdr:rowOff>121920</xdr:rowOff>
    </xdr:from>
    <xdr:to>
      <xdr:col>19</xdr:col>
      <xdr:colOff>76200</xdr:colOff>
      <xdr:row>9</xdr:row>
      <xdr:rowOff>99060</xdr:rowOff>
    </xdr:to>
    <xdr:sp macro="" textlink="">
      <xdr:nvSpPr>
        <xdr:cNvPr id="3" name="TextBox 2"/>
        <xdr:cNvSpPr txBox="1"/>
      </xdr:nvSpPr>
      <xdr:spPr>
        <a:xfrm>
          <a:off x="10881360" y="121920"/>
          <a:ext cx="3268980" cy="1569720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Targets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Number Waiting in Line LESS THAN 5</a:t>
          </a:r>
          <a:endParaRPr lang="en-US">
            <a:effectLst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Waiting Time LESS THAN 3 minutes</a:t>
          </a:r>
          <a:endParaRPr lang="en-US">
            <a:effectLst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Utilization of Servers LESS THAN 50%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to match DTLA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25%</a:t>
          </a:r>
          <a:endParaRPr lang="en-US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929640</xdr:colOff>
      <xdr:row>4</xdr:row>
      <xdr:rowOff>30480</xdr:rowOff>
    </xdr:from>
    <xdr:to>
      <xdr:col>2</xdr:col>
      <xdr:colOff>2026920</xdr:colOff>
      <xdr:row>4</xdr:row>
      <xdr:rowOff>160020</xdr:rowOff>
    </xdr:to>
    <xdr:sp macro="" textlink="">
      <xdr:nvSpPr>
        <xdr:cNvPr id="2" name="Right Arrow 1"/>
        <xdr:cNvSpPr/>
      </xdr:nvSpPr>
      <xdr:spPr bwMode="auto">
        <a:xfrm>
          <a:off x="2369820" y="708660"/>
          <a:ext cx="1097280" cy="129540"/>
        </a:xfrm>
        <a:prstGeom prst="right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434340</xdr:colOff>
      <xdr:row>0</xdr:row>
      <xdr:rowOff>121920</xdr:rowOff>
    </xdr:from>
    <xdr:to>
      <xdr:col>19</xdr:col>
      <xdr:colOff>76200</xdr:colOff>
      <xdr:row>9</xdr:row>
      <xdr:rowOff>99060</xdr:rowOff>
    </xdr:to>
    <xdr:sp macro="" textlink="">
      <xdr:nvSpPr>
        <xdr:cNvPr id="3" name="TextBox 2"/>
        <xdr:cNvSpPr txBox="1"/>
      </xdr:nvSpPr>
      <xdr:spPr>
        <a:xfrm>
          <a:off x="10126980" y="121920"/>
          <a:ext cx="3268980" cy="1501140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Targets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Number Waiting in Line LESS THAN 5</a:t>
          </a:r>
          <a:endParaRPr lang="en-US">
            <a:effectLst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Waiting Time LESS THAN 3 minutes</a:t>
          </a:r>
          <a:endParaRPr lang="en-US">
            <a:effectLst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Utilization of Servers LESS THAN 50%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929640</xdr:colOff>
      <xdr:row>4</xdr:row>
      <xdr:rowOff>30480</xdr:rowOff>
    </xdr:from>
    <xdr:to>
      <xdr:col>2</xdr:col>
      <xdr:colOff>2026920</xdr:colOff>
      <xdr:row>4</xdr:row>
      <xdr:rowOff>160020</xdr:rowOff>
    </xdr:to>
    <xdr:sp macro="" textlink="">
      <xdr:nvSpPr>
        <xdr:cNvPr id="2" name="Right Arrow 1"/>
        <xdr:cNvSpPr/>
      </xdr:nvSpPr>
      <xdr:spPr bwMode="auto">
        <a:xfrm>
          <a:off x="2369820" y="708660"/>
          <a:ext cx="1097280" cy="129540"/>
        </a:xfrm>
        <a:prstGeom prst="right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434340</xdr:colOff>
      <xdr:row>0</xdr:row>
      <xdr:rowOff>121920</xdr:rowOff>
    </xdr:from>
    <xdr:to>
      <xdr:col>19</xdr:col>
      <xdr:colOff>76200</xdr:colOff>
      <xdr:row>9</xdr:row>
      <xdr:rowOff>99060</xdr:rowOff>
    </xdr:to>
    <xdr:sp macro="" textlink="">
      <xdr:nvSpPr>
        <xdr:cNvPr id="3" name="TextBox 2"/>
        <xdr:cNvSpPr txBox="1"/>
      </xdr:nvSpPr>
      <xdr:spPr>
        <a:xfrm>
          <a:off x="10126980" y="121920"/>
          <a:ext cx="3268980" cy="1501140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Targets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Number Waiting in Line LESS THAN 5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Waiting Time LESS THAN 3 minutes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Utilization of Servers LESS THAN 50%</a:t>
          </a:r>
          <a:r>
            <a:rPr lang="en-US"/>
            <a:t> 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929640</xdr:colOff>
      <xdr:row>4</xdr:row>
      <xdr:rowOff>30480</xdr:rowOff>
    </xdr:from>
    <xdr:to>
      <xdr:col>2</xdr:col>
      <xdr:colOff>2026920</xdr:colOff>
      <xdr:row>4</xdr:row>
      <xdr:rowOff>160020</xdr:rowOff>
    </xdr:to>
    <xdr:sp macro="" textlink="">
      <xdr:nvSpPr>
        <xdr:cNvPr id="2" name="Right Arrow 1"/>
        <xdr:cNvSpPr/>
      </xdr:nvSpPr>
      <xdr:spPr bwMode="auto">
        <a:xfrm>
          <a:off x="2369820" y="708660"/>
          <a:ext cx="1097280" cy="129540"/>
        </a:xfrm>
        <a:prstGeom prst="right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434340</xdr:colOff>
      <xdr:row>0</xdr:row>
      <xdr:rowOff>121920</xdr:rowOff>
    </xdr:from>
    <xdr:to>
      <xdr:col>19</xdr:col>
      <xdr:colOff>76200</xdr:colOff>
      <xdr:row>9</xdr:row>
      <xdr:rowOff>99060</xdr:rowOff>
    </xdr:to>
    <xdr:sp macro="" textlink="">
      <xdr:nvSpPr>
        <xdr:cNvPr id="3" name="TextBox 2"/>
        <xdr:cNvSpPr txBox="1"/>
      </xdr:nvSpPr>
      <xdr:spPr>
        <a:xfrm>
          <a:off x="10126980" y="121920"/>
          <a:ext cx="3268980" cy="1501140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Targets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Number Waiting in Line LESS THAN 5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Waiting Time LESS THAN 3 minutes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·Average Utilization of Servers LESS THAN 50%</a:t>
          </a:r>
          <a:r>
            <a:rPr lang="en-US"/>
            <a:t>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B1:M22"/>
  <sheetViews>
    <sheetView tabSelected="1" workbookViewId="0">
      <selection activeCell="J14" sqref="J14"/>
    </sheetView>
  </sheetViews>
  <sheetFormatPr defaultRowHeight="13.2"/>
  <cols>
    <col min="2" max="2" width="30.109375" customWidth="1"/>
    <col min="3" max="4" width="6.21875" customWidth="1"/>
    <col min="5" max="7" width="8.21875" customWidth="1"/>
    <col min="8" max="11" width="6.21875" customWidth="1"/>
    <col min="12" max="12" width="7.21875" customWidth="1"/>
  </cols>
  <sheetData>
    <row r="1" spans="2:13" ht="14.4" thickBot="1">
      <c r="B1" s="1"/>
      <c r="C1" s="2" t="s">
        <v>51</v>
      </c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15" thickBot="1">
      <c r="B2" s="3" t="s">
        <v>47</v>
      </c>
      <c r="C2" s="4" t="s">
        <v>14</v>
      </c>
      <c r="D2" s="4" t="s">
        <v>15</v>
      </c>
      <c r="E2" s="4" t="s">
        <v>16</v>
      </c>
      <c r="F2" s="4" t="s">
        <v>17</v>
      </c>
      <c r="G2" s="4" t="s">
        <v>18</v>
      </c>
      <c r="H2" s="4" t="s">
        <v>19</v>
      </c>
      <c r="I2" s="4" t="s">
        <v>20</v>
      </c>
      <c r="J2" s="4" t="s">
        <v>21</v>
      </c>
      <c r="K2" s="4" t="s">
        <v>22</v>
      </c>
      <c r="L2" s="5" t="s">
        <v>23</v>
      </c>
      <c r="M2" s="6"/>
    </row>
    <row r="3" spans="2:13" ht="14.4" thickBot="1">
      <c r="B3" s="135" t="s">
        <v>52</v>
      </c>
      <c r="C3" s="136" t="str">
        <f>INDEX(Centralized_CheckIn!$D$7:$M$8,2,MATCH(Summary!C$2,Centralized_CheckIn!$D$7:$M$7,0))</f>
        <v>5 to 6</v>
      </c>
      <c r="D3" s="136" t="str">
        <f>INDEX(Centralized_CheckIn!$D$7:$M$8,2,MATCH(Summary!D$2,Centralized_CheckIn!$D$7:$M$7,0))</f>
        <v>5 to 7</v>
      </c>
      <c r="E3" s="136" t="str">
        <f>INDEX(Centralized_CheckIn!$D$7:$M$8,2,MATCH(Summary!E$2,Centralized_CheckIn!$D$7:$M$7,0))</f>
        <v>5 to 7</v>
      </c>
      <c r="F3" s="136" t="str">
        <f>INDEX(Centralized_CheckIn!$D$7:$M$8,2,MATCH(Summary!F$2,Centralized_CheckIn!$D$7:$M$7,0))</f>
        <v>3 to 8</v>
      </c>
      <c r="G3" s="136" t="str">
        <f>INDEX(Centralized_CheckIn!$D$7:$M$8,2,MATCH(Summary!G$2,Centralized_CheckIn!$D$7:$M$7,0))</f>
        <v>2 to 4</v>
      </c>
      <c r="H3" s="136" t="str">
        <f>INDEX(Centralized_CheckIn!$D$7:$M$8,2,MATCH(Summary!H$2,Centralized_CheckIn!$D$7:$M$7,0))</f>
        <v>4 to 6</v>
      </c>
      <c r="I3" s="136" t="str">
        <f>INDEX(Centralized_CheckIn!$D$7:$M$8,2,MATCH(Summary!I$2,Centralized_CheckIn!$D$7:$M$7,0))</f>
        <v>4 to 6</v>
      </c>
      <c r="J3" s="136" t="str">
        <f>INDEX(Centralized_CheckIn!$D$7:$M$8,2,MATCH(Summary!J$2,Centralized_CheckIn!$D$7:$M$7,0))</f>
        <v>4 to 6</v>
      </c>
      <c r="K3" s="136" t="str">
        <f>INDEX(Centralized_CheckIn!$D$7:$M$8,2,MATCH(Summary!K$2,Centralized_CheckIn!$D$7:$M$7,0))</f>
        <v>2 to 4</v>
      </c>
      <c r="L3" s="137" t="str">
        <f>INDEX(Centralized_CheckIn!$D$7:$M$8,2,MATCH(Summary!L$2,Centralized_CheckIn!$D$7:$M$7,0))</f>
        <v>1 to 1</v>
      </c>
      <c r="M3" s="1"/>
    </row>
    <row r="4" spans="2:13" ht="27.6" customHeight="1" thickBot="1">
      <c r="B4" s="208" t="s">
        <v>59</v>
      </c>
      <c r="C4" s="209" t="str">
        <f>INDEX(Semi_Centralized_CheckIn!$D$7:$M$8,2,MATCH(Summary!C$2,Semi_Centralized_CheckIn!$D$7:$M$7,0))</f>
        <v>3 to 5</v>
      </c>
      <c r="D4" s="209" t="str">
        <f>INDEX(Semi_Centralized_CheckIn!$D$7:$M$8,2,MATCH(Summary!D$2,Semi_Centralized_CheckIn!$D$7:$M$7,0))</f>
        <v>4 to 5</v>
      </c>
      <c r="E4" s="209" t="str">
        <f>INDEX(Semi_Centralized_CheckIn!$D$7:$M$8,2,MATCH(Summary!E$2,Semi_Centralized_CheckIn!$D$7:$M$7,0))</f>
        <v>3 to 5</v>
      </c>
      <c r="F4" s="209" t="str">
        <f>INDEX(Semi_Centralized_CheckIn!$D$7:$M$8,2,MATCH(Summary!F$2,Semi_Centralized_CheckIn!$D$7:$M$7,0))</f>
        <v>2 to 6</v>
      </c>
      <c r="G4" s="209" t="str">
        <f>INDEX(Semi_Centralized_CheckIn!$D$7:$M$8,2,MATCH(Summary!G$2,Semi_Centralized_CheckIn!$D$7:$M$7,0))</f>
        <v>2 to 2</v>
      </c>
      <c r="H4" s="209" t="str">
        <f>INDEX(Semi_Centralized_CheckIn!$D$7:$M$8,2,MATCH(Summary!H$2,Semi_Centralized_CheckIn!$D$7:$M$7,0))</f>
        <v>3 to 4</v>
      </c>
      <c r="I4" s="209" t="str">
        <f>INDEX(Semi_Centralized_CheckIn!$D$7:$M$8,2,MATCH(Summary!I$2,Semi_Centralized_CheckIn!$D$7:$M$7,0))</f>
        <v>3 to 4</v>
      </c>
      <c r="J4" s="209" t="str">
        <f>INDEX(Semi_Centralized_CheckIn!$D$7:$M$8,2,MATCH(Summary!J$2,Semi_Centralized_CheckIn!$D$7:$M$7,0))</f>
        <v>3 to 5</v>
      </c>
      <c r="K4" s="209" t="str">
        <f>INDEX(Semi_Centralized_CheckIn!$D$7:$M$8,2,MATCH(Summary!K$2,Semi_Centralized_CheckIn!$D$7:$M$7,0))</f>
        <v>1 to 2</v>
      </c>
      <c r="L4" s="210" t="str">
        <f>INDEX(Semi_Centralized_CheckIn!$D$7:$M$8,2,MATCH(Summary!L$2,Semi_Centralized_CheckIn!$D$7:$M$7,0))</f>
        <v>1 to 1</v>
      </c>
      <c r="M4" s="1"/>
    </row>
    <row r="5" spans="2:13" ht="15" thickTop="1" thickBot="1">
      <c r="B5" s="134" t="s">
        <v>53</v>
      </c>
      <c r="C5" s="138" t="str">
        <f>SUM(INDEX(Floor1_CheckIn!$D$7:$M$24,6,MATCH(Summary!C$2,Floor1_CheckIn!$D$7:$M$7,0)),INDEX(Floor2_CheckIn!$D$7:$M$24,6,MATCH(Summary!C$2,Floor2_CheckIn!$D$7:$M$7,0)),INDEX(Floor3_CheckIn!$D$7:$M$24,6,MATCH(Summary!C$2,Floor3_CheckIn!$D$7:$M$7,0)))&amp;" to "&amp;SUM(INDEX(Floor1_CheckIn!$D$7:$M$24,18,MATCH(Summary!C$2,Floor1_CheckIn!$D$7:$M$7,0)),INDEX(Floor2_CheckIn!$D$7:$M$24,18,MATCH(Summary!C$2,Floor2_CheckIn!$D$7:$M$7,0)),INDEX(Floor3_CheckIn!$D$7:$M$24,18,MATCH(Summary!C$2,Floor3_CheckIn!$D$7:$M$7,0)))</f>
        <v>5 to 8</v>
      </c>
      <c r="D5" s="138" t="str">
        <f>SUM(INDEX(Floor1_CheckIn!$D$7:$M$24,6,MATCH(Summary!D$2,Floor1_CheckIn!$D$7:$M$7,0)),INDEX(Floor2_CheckIn!$D$7:$M$24,6,MATCH(Summary!D$2,Floor2_CheckIn!$D$7:$M$7,0)),INDEX(Floor3_CheckIn!$D$7:$M$24,6,MATCH(Summary!D$2,Floor3_CheckIn!$D$7:$M$7,0)))&amp;" to "&amp;SUM(INDEX(Floor1_CheckIn!$D$7:$M$24,18,MATCH(Summary!D$2,Floor1_CheckIn!$D$7:$M$7,0)),INDEX(Floor2_CheckIn!$D$7:$M$24,18,MATCH(Summary!D$2,Floor2_CheckIn!$D$7:$M$7,0)),INDEX(Floor3_CheckIn!$D$7:$M$24,18,MATCH(Summary!D$2,Floor3_CheckIn!$D$7:$M$7,0)))</f>
        <v>6 to 8</v>
      </c>
      <c r="E5" s="138" t="str">
        <f>SUM(INDEX(Floor1_CheckIn!$D$7:$M$24,6,MATCH(Summary!E$2,Floor1_CheckIn!$D$7:$M$7,0)),INDEX(Floor2_CheckIn!$D$7:$M$24,6,MATCH(Summary!E$2,Floor2_CheckIn!$D$7:$M$7,0)),INDEX(Floor3_CheckIn!$D$7:$M$24,6,MATCH(Summary!E$2,Floor3_CheckIn!$D$7:$M$7,0)))&amp;" to "&amp;SUM(INDEX(Floor1_CheckIn!$D$7:$M$24,18,MATCH(Summary!E$2,Floor1_CheckIn!$D$7:$M$7,0)),INDEX(Floor2_CheckIn!$D$7:$M$24,18,MATCH(Summary!E$2,Floor2_CheckIn!$D$7:$M$7,0)),INDEX(Floor3_CheckIn!$D$7:$M$24,18,MATCH(Summary!E$2,Floor3_CheckIn!$D$7:$M$7,0)))</f>
        <v>6 to 9</v>
      </c>
      <c r="F5" s="138" t="str">
        <f>SUM(INDEX(Floor1_CheckIn!$D$7:$M$24,6,MATCH(Summary!F$2,Floor1_CheckIn!$D$7:$M$7,0)),INDEX(Floor2_CheckIn!$D$7:$M$24,6,MATCH(Summary!F$2,Floor2_CheckIn!$D$7:$M$7,0)),INDEX(Floor3_CheckIn!$D$7:$M$24,6,MATCH(Summary!F$2,Floor3_CheckIn!$D$7:$M$7,0)))&amp;" to "&amp;SUM(INDEX(Floor1_CheckIn!$D$7:$M$24,18,MATCH(Summary!F$2,Floor1_CheckIn!$D$7:$M$7,0)),INDEX(Floor2_CheckIn!$D$7:$M$24,18,MATCH(Summary!F$2,Floor2_CheckIn!$D$7:$M$7,0)),INDEX(Floor3_CheckIn!$D$7:$M$24,18,MATCH(Summary!F$2,Floor3_CheckIn!$D$7:$M$7,0)))</f>
        <v>3 to 8</v>
      </c>
      <c r="G5" s="138" t="str">
        <f>SUM(INDEX(Floor1_CheckIn!$D$7:$M$24,6,MATCH(Summary!G$2,Floor1_CheckIn!$D$7:$M$7,0)),INDEX(Floor2_CheckIn!$D$7:$M$24,6,MATCH(Summary!G$2,Floor2_CheckIn!$D$7:$M$7,0)),INDEX(Floor3_CheckIn!$D$7:$M$24,6,MATCH(Summary!G$2,Floor3_CheckIn!$D$7:$M$7,0)))&amp;" to "&amp;SUM(INDEX(Floor1_CheckIn!$D$7:$M$24,18,MATCH(Summary!G$2,Floor1_CheckIn!$D$7:$M$7,0)),INDEX(Floor2_CheckIn!$D$7:$M$24,18,MATCH(Summary!G$2,Floor2_CheckIn!$D$7:$M$7,0)),INDEX(Floor3_CheckIn!$D$7:$M$24,18,MATCH(Summary!G$2,Floor3_CheckIn!$D$7:$M$7,0)))</f>
        <v>3 to 5</v>
      </c>
      <c r="H5" s="138" t="str">
        <f>SUM(INDEX(Floor1_CheckIn!$D$7:$M$24,6,MATCH(Summary!H$2,Floor1_CheckIn!$D$7:$M$7,0)),INDEX(Floor2_CheckIn!$D$7:$M$24,6,MATCH(Summary!H$2,Floor2_CheckIn!$D$7:$M$7,0)),INDEX(Floor3_CheckIn!$D$7:$M$24,6,MATCH(Summary!H$2,Floor3_CheckIn!$D$7:$M$7,0)))&amp;" to "&amp;SUM(INDEX(Floor1_CheckIn!$D$7:$M$24,18,MATCH(Summary!H$2,Floor1_CheckIn!$D$7:$M$7,0)),INDEX(Floor2_CheckIn!$D$7:$M$24,18,MATCH(Summary!H$2,Floor2_CheckIn!$D$7:$M$7,0)),INDEX(Floor3_CheckIn!$D$7:$M$24,18,MATCH(Summary!H$2,Floor3_CheckIn!$D$7:$M$7,0)))</f>
        <v>5 to 6</v>
      </c>
      <c r="I5" s="138" t="str">
        <f>SUM(INDEX(Floor1_CheckIn!$D$7:$M$24,6,MATCH(Summary!I$2,Floor1_CheckIn!$D$7:$M$7,0)),INDEX(Floor2_CheckIn!$D$7:$M$24,6,MATCH(Summary!I$2,Floor2_CheckIn!$D$7:$M$7,0)),INDEX(Floor3_CheckIn!$D$7:$M$24,6,MATCH(Summary!I$2,Floor3_CheckIn!$D$7:$M$7,0)))&amp;" to "&amp;SUM(INDEX(Floor1_CheckIn!$D$7:$M$24,18,MATCH(Summary!I$2,Floor1_CheckIn!$D$7:$M$7,0)),INDEX(Floor2_CheckIn!$D$7:$M$24,18,MATCH(Summary!I$2,Floor2_CheckIn!$D$7:$M$7,0)),INDEX(Floor3_CheckIn!$D$7:$M$24,18,MATCH(Summary!I$2,Floor3_CheckIn!$D$7:$M$7,0)))</f>
        <v>6 to 7</v>
      </c>
      <c r="J5" s="138" t="str">
        <f>SUM(INDEX(Floor1_CheckIn!$D$7:$M$24,6,MATCH(Summary!J$2,Floor1_CheckIn!$D$7:$M$7,0)),INDEX(Floor2_CheckIn!$D$7:$M$24,6,MATCH(Summary!J$2,Floor2_CheckIn!$D$7:$M$7,0)),INDEX(Floor3_CheckIn!$D$7:$M$24,6,MATCH(Summary!J$2,Floor3_CheckIn!$D$7:$M$7,0)))&amp;" to "&amp;SUM(INDEX(Floor1_CheckIn!$D$7:$M$24,18,MATCH(Summary!J$2,Floor1_CheckIn!$D$7:$M$7,0)),INDEX(Floor2_CheckIn!$D$7:$M$24,18,MATCH(Summary!J$2,Floor2_CheckIn!$D$7:$M$7,0)),INDEX(Floor3_CheckIn!$D$7:$M$24,18,MATCH(Summary!J$2,Floor3_CheckIn!$D$7:$M$7,0)))</f>
        <v>6 to 8</v>
      </c>
      <c r="K5" s="138" t="str">
        <f>SUM(INDEX(Floor1_CheckIn!$D$7:$M$24,6,MATCH(Summary!K$2,Floor1_CheckIn!$D$7:$M$7,0)),INDEX(Floor2_CheckIn!$D$7:$M$24,6,MATCH(Summary!K$2,Floor2_CheckIn!$D$7:$M$7,0)),INDEX(Floor3_CheckIn!$D$7:$M$24,6,MATCH(Summary!K$2,Floor3_CheckIn!$D$7:$M$7,0)))&amp;" to "&amp;SUM(INDEX(Floor1_CheckIn!$D$7:$M$24,18,MATCH(Summary!K$2,Floor1_CheckIn!$D$7:$M$7,0)),INDEX(Floor2_CheckIn!$D$7:$M$24,18,MATCH(Summary!K$2,Floor2_CheckIn!$D$7:$M$7,0)),INDEX(Floor3_CheckIn!$D$7:$M$24,18,MATCH(Summary!K$2,Floor3_CheckIn!$D$7:$M$7,0)))</f>
        <v>3 to 5</v>
      </c>
      <c r="L5" s="139" t="str">
        <f>SUM(INDEX(Floor1_CheckIn!$D$7:$M$24,6,MATCH(Summary!L$2,Floor1_CheckIn!$D$7:$M$7,0)),INDEX(Floor2_CheckIn!$D$7:$M$24,6,MATCH(Summary!L$2,Floor2_CheckIn!$D$7:$M$7,0)),INDEX(Floor3_CheckIn!$D$7:$M$24,6,MATCH(Summary!L$2,Floor3_CheckIn!$D$7:$M$7,0)))&amp;" to "&amp;SUM(INDEX(Floor1_CheckIn!$D$7:$M$24,18,MATCH(Summary!L$2,Floor1_CheckIn!$D$7:$M$7,0)),INDEX(Floor2_CheckIn!$D$7:$M$24,18,MATCH(Summary!L$2,Floor2_CheckIn!$D$7:$M$7,0)),INDEX(Floor3_CheckIn!$D$7:$M$24,18,MATCH(Summary!L$2,Floor3_CheckIn!$D$7:$M$7,0)))</f>
        <v>2 to 2</v>
      </c>
      <c r="M5" s="1"/>
    </row>
    <row r="6" spans="2:13" ht="14.4" thickTop="1">
      <c r="B6" s="140" t="s">
        <v>54</v>
      </c>
      <c r="C6" s="128" t="str">
        <f>INDEX(Floor1_CheckIn!$D$7:$M$8,2,MATCH(Summary!C$2,Floor1_CheckIn!$D$7:$M$7,0))</f>
        <v>2 to 3</v>
      </c>
      <c r="D6" s="128" t="str">
        <f>INDEX(Floor1_CheckIn!$D$7:$M$8,2,MATCH(Summary!D$2,Floor1_CheckIn!$D$7:$M$7,0))</f>
        <v>2 to 3</v>
      </c>
      <c r="E6" s="128" t="str">
        <f>INDEX(Floor1_CheckIn!$D$7:$M$8,2,MATCH(Summary!E$2,Floor1_CheckIn!$D$7:$M$7,0))</f>
        <v>2 to 3</v>
      </c>
      <c r="F6" s="128" t="str">
        <f>INDEX(Floor1_CheckIn!$D$7:$M$8,2,MATCH(Summary!F$2,Floor1_CheckIn!$D$7:$M$7,0))</f>
        <v>1 to 2</v>
      </c>
      <c r="G6" s="128" t="str">
        <f>INDEX(Floor1_CheckIn!$D$7:$M$8,2,MATCH(Summary!G$2,Floor1_CheckIn!$D$7:$M$7,0))</f>
        <v>1 to 2</v>
      </c>
      <c r="H6" s="128" t="str">
        <f>INDEX(Floor1_CheckIn!$D$7:$M$8,2,MATCH(Summary!H$2,Floor1_CheckIn!$D$7:$M$7,0))</f>
        <v>1 to 2</v>
      </c>
      <c r="I6" s="128" t="str">
        <f>INDEX(Floor1_CheckIn!$D$7:$M$8,2,MATCH(Summary!I$2,Floor1_CheckIn!$D$7:$M$7,0))</f>
        <v>2 to 3</v>
      </c>
      <c r="J6" s="128" t="str">
        <f>INDEX(Floor1_CheckIn!$D$7:$M$8,2,MATCH(Summary!J$2,Floor1_CheckIn!$D$7:$M$7,0))</f>
        <v>2 to 3</v>
      </c>
      <c r="K6" s="128" t="str">
        <f>INDEX(Floor1_CheckIn!$D$7:$M$8,2,MATCH(Summary!K$2,Floor1_CheckIn!$D$7:$M$7,0))</f>
        <v>1 to 2</v>
      </c>
      <c r="L6" s="129" t="str">
        <f>INDEX(Floor1_CheckIn!$D$7:$M$8,2,MATCH(Summary!L$2,Floor1_CheckIn!$D$7:$M$7,0))</f>
        <v>1 to 1</v>
      </c>
      <c r="M6" s="1"/>
    </row>
    <row r="7" spans="2:13" ht="13.8">
      <c r="B7" s="140" t="s">
        <v>55</v>
      </c>
      <c r="C7" s="130" t="str">
        <f>INDEX(Floor2_CheckIn!$D$7:$M$8,2,MATCH(Summary!C$2,Floor2_CheckIn!$D$7:$M$7,0))</f>
        <v>1 to 2</v>
      </c>
      <c r="D7" s="130" t="str">
        <f>INDEX(Floor2_CheckIn!$D$7:$M$8,2,MATCH(Summary!D$2,Floor2_CheckIn!$D$7:$M$7,0))</f>
        <v>2 to 2</v>
      </c>
      <c r="E7" s="130" t="str">
        <f>INDEX(Floor2_CheckIn!$D$7:$M$8,2,MATCH(Summary!E$2,Floor2_CheckIn!$D$7:$M$7,0))</f>
        <v>2 to 3</v>
      </c>
      <c r="F7" s="130" t="str">
        <f>INDEX(Floor2_CheckIn!$D$7:$M$8,2,MATCH(Summary!F$2,Floor2_CheckIn!$D$7:$M$7,0))</f>
        <v>1 to 3</v>
      </c>
      <c r="G7" s="130" t="str">
        <f>INDEX(Floor2_CheckIn!$D$7:$M$8,2,MATCH(Summary!G$2,Floor2_CheckIn!$D$7:$M$7,0))</f>
        <v>1 to 2</v>
      </c>
      <c r="H7" s="130" t="str">
        <f>INDEX(Floor2_CheckIn!$D$7:$M$8,2,MATCH(Summary!H$2,Floor2_CheckIn!$D$7:$M$7,0))</f>
        <v>2 to 2</v>
      </c>
      <c r="I7" s="130" t="str">
        <f>INDEX(Floor2_CheckIn!$D$7:$M$8,2,MATCH(Summary!I$2,Floor2_CheckIn!$D$7:$M$7,0))</f>
        <v>2 to 2</v>
      </c>
      <c r="J7" s="130" t="str">
        <f>INDEX(Floor2_CheckIn!$D$7:$M$8,2,MATCH(Summary!J$2,Floor2_CheckIn!$D$7:$M$7,0))</f>
        <v>2 to 3</v>
      </c>
      <c r="K7" s="130" t="str">
        <f>INDEX(Floor2_CheckIn!$D$7:$M$8,2,MATCH(Summary!K$2,Floor2_CheckIn!$D$7:$M$7,0))</f>
        <v>1 to 2</v>
      </c>
      <c r="L7" s="131" t="str">
        <f>INDEX(Floor2_CheckIn!$D$7:$M$8,2,MATCH(Summary!L$2,Floor2_CheckIn!$D$7:$M$7,0))</f>
        <v>1 to 1</v>
      </c>
      <c r="M7" s="1"/>
    </row>
    <row r="8" spans="2:13" ht="14.4" thickBot="1">
      <c r="B8" s="141" t="s">
        <v>56</v>
      </c>
      <c r="C8" s="132" t="str">
        <f>INDEX(Floor3_CheckIn!$D$7:$M$8,2,MATCH(Summary!C$2,Floor3_CheckIn!$D$7:$M$7,0))</f>
        <v>2 to 3</v>
      </c>
      <c r="D8" s="132" t="str">
        <f>INDEX(Floor3_CheckIn!$D$7:$M$8,2,MATCH(Summary!D$2,Floor3_CheckIn!$D$7:$M$7,0))</f>
        <v>2 to 3</v>
      </c>
      <c r="E8" s="132" t="str">
        <f>INDEX(Floor3_CheckIn!$D$7:$M$8,2,MATCH(Summary!E$2,Floor3_CheckIn!$D$7:$M$7,0))</f>
        <v>2 to 3</v>
      </c>
      <c r="F8" s="132" t="str">
        <f>INDEX(Floor3_CheckIn!$D$7:$M$8,2,MATCH(Summary!F$2,Floor3_CheckIn!$D$7:$M$7,0))</f>
        <v>1 to 3</v>
      </c>
      <c r="G8" s="132" t="str">
        <f>INDEX(Floor3_CheckIn!$D$7:$M$8,2,MATCH(Summary!G$2,Floor3_CheckIn!$D$7:$M$7,0))</f>
        <v>1 to 1</v>
      </c>
      <c r="H8" s="132" t="str">
        <f>INDEX(Floor3_CheckIn!$D$7:$M$8,2,MATCH(Summary!H$2,Floor3_CheckIn!$D$7:$M$7,0))</f>
        <v>2 to 2</v>
      </c>
      <c r="I8" s="132" t="str">
        <f>INDEX(Floor3_CheckIn!$D$7:$M$8,2,MATCH(Summary!I$2,Floor3_CheckIn!$D$7:$M$7,0))</f>
        <v>2 to 2</v>
      </c>
      <c r="J8" s="132" t="str">
        <f>INDEX(Floor3_CheckIn!$D$7:$M$8,2,MATCH(Summary!J$2,Floor3_CheckIn!$D$7:$M$7,0))</f>
        <v>2 to 2</v>
      </c>
      <c r="K8" s="132" t="str">
        <f>INDEX(Floor3_CheckIn!$D$7:$M$8,2,MATCH(Summary!K$2,Floor3_CheckIn!$D$7:$M$7,0))</f>
        <v>1 to 1</v>
      </c>
      <c r="L8" s="133" t="str">
        <f>INDEX(Floor3_CheckIn!$D$7:$M$8,2,MATCH(Summary!L$2,Floor3_CheckIn!$D$7:$M$7,0))</f>
        <v>0 to 0</v>
      </c>
      <c r="M8" s="1"/>
    </row>
    <row r="10" spans="2:13" ht="13.8">
      <c r="B10" s="201"/>
    </row>
    <row r="11" spans="2:13" ht="13.8">
      <c r="B11" s="201"/>
    </row>
    <row r="14" spans="2:13">
      <c r="B14" s="202"/>
      <c r="F14" s="203"/>
    </row>
    <row r="22" spans="3:3">
      <c r="C22" s="20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4:S82"/>
  <sheetViews>
    <sheetView workbookViewId="0">
      <pane ySplit="10" topLeftCell="A11" activePane="bottomLeft" state="frozen"/>
      <selection activeCell="O31" sqref="O31"/>
      <selection pane="bottomLeft" activeCell="D13" sqref="D13"/>
    </sheetView>
  </sheetViews>
  <sheetFormatPr defaultRowHeight="13.8"/>
  <cols>
    <col min="1" max="1" width="16.33203125" style="1" customWidth="1"/>
    <col min="2" max="2" width="4.6640625" style="1" customWidth="1"/>
    <col min="3" max="3" width="31.44140625" style="1" customWidth="1"/>
    <col min="4" max="4" width="9.5546875" style="1" customWidth="1"/>
    <col min="5" max="5" width="9.5546875" style="1" bestFit="1" customWidth="1"/>
    <col min="6" max="6" width="9.88671875" style="1" bestFit="1" customWidth="1"/>
    <col min="7" max="8" width="10.5546875" style="1" bestFit="1" customWidth="1"/>
    <col min="9" max="11" width="9.5546875" style="1" bestFit="1" customWidth="1"/>
    <col min="12" max="13" width="10.5546875" style="1" bestFit="1" customWidth="1"/>
    <col min="14" max="16" width="8.88671875" style="1"/>
    <col min="17" max="17" width="8.44140625" style="1" customWidth="1"/>
    <col min="18" max="16384" width="8.88671875" style="1"/>
  </cols>
  <sheetData>
    <row r="4" spans="1:16" ht="14.4" thickBo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6" ht="14.4" thickBot="1">
      <c r="A5" s="7"/>
      <c r="B5" s="7"/>
      <c r="C5" s="8" t="s">
        <v>35</v>
      </c>
      <c r="D5" s="206" t="s">
        <v>30</v>
      </c>
      <c r="E5" s="207"/>
      <c r="F5" s="9" t="s">
        <v>33</v>
      </c>
      <c r="G5" s="10" t="s">
        <v>34</v>
      </c>
      <c r="H5" s="11" t="s">
        <v>34</v>
      </c>
      <c r="I5" s="12" t="s">
        <v>34</v>
      </c>
      <c r="J5" s="7"/>
      <c r="K5" s="7"/>
      <c r="L5" s="7"/>
      <c r="M5" s="7"/>
    </row>
    <row r="6" spans="1:16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6">
      <c r="C7" s="13" t="s">
        <v>13</v>
      </c>
      <c r="D7" s="14" t="s">
        <v>14</v>
      </c>
      <c r="E7" s="14" t="s">
        <v>15</v>
      </c>
      <c r="F7" s="14" t="s">
        <v>16</v>
      </c>
      <c r="G7" s="14" t="s">
        <v>17</v>
      </c>
      <c r="H7" s="14" t="s">
        <v>18</v>
      </c>
      <c r="I7" s="14" t="s">
        <v>19</v>
      </c>
      <c r="J7" s="14" t="s">
        <v>20</v>
      </c>
      <c r="K7" s="14" t="s">
        <v>21</v>
      </c>
      <c r="L7" s="14" t="s">
        <v>22</v>
      </c>
      <c r="M7" s="14" t="s">
        <v>23</v>
      </c>
    </row>
    <row r="8" spans="1:16">
      <c r="C8" s="15" t="s">
        <v>57</v>
      </c>
      <c r="D8" s="16" t="str">
        <f>$D$12&amp;" to "&amp;$D$24</f>
        <v>5 to 6</v>
      </c>
      <c r="E8" s="16" t="str">
        <f>$E$12&amp;" to "&amp;$E$24</f>
        <v>5 to 7</v>
      </c>
      <c r="F8" s="16" t="str">
        <f>$F$12&amp;" to "&amp;$F$24</f>
        <v>5 to 7</v>
      </c>
      <c r="G8" s="16" t="str">
        <f>$G$12&amp;" to "&amp;$G$24</f>
        <v>3 to 8</v>
      </c>
      <c r="H8" s="16" t="str">
        <f>$H$12&amp;" to "&amp;$H$24</f>
        <v>2 to 4</v>
      </c>
      <c r="I8" s="16" t="str">
        <f>$I$12&amp;" to "&amp;$I$24</f>
        <v>4 to 6</v>
      </c>
      <c r="J8" s="16" t="str">
        <f>$J$12&amp;" to "&amp;$J$24</f>
        <v>4 to 6</v>
      </c>
      <c r="K8" s="16" t="str">
        <f>$K$12&amp;" to "&amp;$K$24</f>
        <v>4 to 6</v>
      </c>
      <c r="L8" s="16" t="str">
        <f>$L$12&amp;" to "&amp;$L$24</f>
        <v>2 to 4</v>
      </c>
      <c r="M8" s="16" t="str">
        <f>$M$12&amp;" to "&amp;$M$24</f>
        <v>1 to 1</v>
      </c>
    </row>
    <row r="9" spans="1:16">
      <c r="B9" s="17"/>
      <c r="C9" s="18" t="s">
        <v>31</v>
      </c>
      <c r="D9" s="19">
        <v>58.876494023904385</v>
      </c>
      <c r="E9" s="19">
        <v>69.521912350597603</v>
      </c>
      <c r="F9" s="19">
        <v>65.697211155378483</v>
      </c>
      <c r="G9" s="19">
        <v>32.605577689243027</v>
      </c>
      <c r="H9" s="19">
        <v>25.282868525896415</v>
      </c>
      <c r="I9" s="19">
        <v>53.159362549800797</v>
      </c>
      <c r="J9" s="19">
        <v>54.745019920318725</v>
      </c>
      <c r="K9" s="19">
        <v>51.43426294820717</v>
      </c>
      <c r="L9" s="19">
        <v>21.212</v>
      </c>
      <c r="M9" s="19">
        <v>1.3368421052631578</v>
      </c>
      <c r="N9" s="20"/>
      <c r="O9" s="20"/>
      <c r="P9" s="20"/>
    </row>
    <row r="10" spans="1:16">
      <c r="B10" s="17"/>
      <c r="C10" s="18" t="s">
        <v>32</v>
      </c>
      <c r="D10" s="21">
        <v>81</v>
      </c>
      <c r="E10" s="21">
        <v>96</v>
      </c>
      <c r="F10" s="21">
        <v>98</v>
      </c>
      <c r="G10" s="21">
        <v>104</v>
      </c>
      <c r="H10" s="21">
        <v>43</v>
      </c>
      <c r="I10" s="21">
        <v>77</v>
      </c>
      <c r="J10" s="21">
        <v>84</v>
      </c>
      <c r="K10" s="21">
        <v>82</v>
      </c>
      <c r="L10" s="21">
        <v>52</v>
      </c>
      <c r="M10" s="21">
        <v>3</v>
      </c>
      <c r="N10" s="20"/>
      <c r="O10" s="20"/>
      <c r="P10" s="20"/>
    </row>
    <row r="11" spans="1:16" ht="14.4" thickBot="1">
      <c r="C11" s="15" t="s">
        <v>50</v>
      </c>
      <c r="D11" s="205">
        <f>AVERAGE(D9:D10)</f>
        <v>69.9382470119522</v>
      </c>
      <c r="E11" s="205">
        <f t="shared" ref="E11:M11" si="0">AVERAGE(E9:E10)</f>
        <v>82.760956175298801</v>
      </c>
      <c r="F11" s="205">
        <f t="shared" si="0"/>
        <v>81.848605577689241</v>
      </c>
      <c r="G11" s="205">
        <f t="shared" si="0"/>
        <v>68.302788844621517</v>
      </c>
      <c r="H11" s="205">
        <f t="shared" si="0"/>
        <v>34.141434262948209</v>
      </c>
      <c r="I11" s="205">
        <f t="shared" si="0"/>
        <v>65.079681274900395</v>
      </c>
      <c r="J11" s="205">
        <f t="shared" si="0"/>
        <v>69.372509960159363</v>
      </c>
      <c r="K11" s="205">
        <f t="shared" si="0"/>
        <v>66.717131474103581</v>
      </c>
      <c r="L11" s="205">
        <f t="shared" si="0"/>
        <v>36.606000000000002</v>
      </c>
      <c r="M11" s="205">
        <f t="shared" si="0"/>
        <v>2.168421052631579</v>
      </c>
    </row>
    <row r="12" spans="1:16" ht="14.4" thickBot="1">
      <c r="A12" s="150" t="s">
        <v>3</v>
      </c>
      <c r="B12" s="151"/>
      <c r="C12" s="152" t="s">
        <v>4</v>
      </c>
      <c r="D12" s="24">
        <v>5</v>
      </c>
      <c r="E12" s="25">
        <v>5</v>
      </c>
      <c r="F12" s="25">
        <v>5</v>
      </c>
      <c r="G12" s="25">
        <v>3</v>
      </c>
      <c r="H12" s="25">
        <v>2</v>
      </c>
      <c r="I12" s="25">
        <v>4</v>
      </c>
      <c r="J12" s="25">
        <v>4</v>
      </c>
      <c r="K12" s="25">
        <v>4</v>
      </c>
      <c r="L12" s="25">
        <v>2</v>
      </c>
      <c r="M12" s="153">
        <v>1</v>
      </c>
    </row>
    <row r="13" spans="1:16">
      <c r="A13" s="154" t="s">
        <v>12</v>
      </c>
      <c r="B13" s="26"/>
      <c r="C13" s="27" t="s">
        <v>5</v>
      </c>
      <c r="D13" s="28">
        <f>D9/60</f>
        <v>0.98127490039840637</v>
      </c>
      <c r="E13" s="29">
        <f t="shared" ref="E13:M13" si="1">E9/60</f>
        <v>1.1586985391766267</v>
      </c>
      <c r="F13" s="29">
        <f t="shared" si="1"/>
        <v>1.094953519256308</v>
      </c>
      <c r="G13" s="29">
        <f t="shared" si="1"/>
        <v>0.54342629482071714</v>
      </c>
      <c r="H13" s="29">
        <f t="shared" si="1"/>
        <v>0.4213811420982736</v>
      </c>
      <c r="I13" s="29">
        <f t="shared" si="1"/>
        <v>0.88598937583001325</v>
      </c>
      <c r="J13" s="29">
        <f t="shared" si="1"/>
        <v>0.91241699867197879</v>
      </c>
      <c r="K13" s="29">
        <f t="shared" si="1"/>
        <v>0.85723771580345287</v>
      </c>
      <c r="L13" s="29">
        <f t="shared" si="1"/>
        <v>0.35353333333333331</v>
      </c>
      <c r="M13" s="155">
        <f t="shared" si="1"/>
        <v>2.2280701754385963E-2</v>
      </c>
    </row>
    <row r="14" spans="1:16">
      <c r="A14" s="156"/>
      <c r="B14" s="30"/>
      <c r="C14" s="31" t="s">
        <v>6</v>
      </c>
      <c r="D14" s="32">
        <v>0.48</v>
      </c>
      <c r="E14" s="32">
        <v>0.48</v>
      </c>
      <c r="F14" s="32">
        <v>0.48</v>
      </c>
      <c r="G14" s="32">
        <v>0.48</v>
      </c>
      <c r="H14" s="32">
        <v>0.48</v>
      </c>
      <c r="I14" s="32">
        <v>0.48</v>
      </c>
      <c r="J14" s="32">
        <v>0.48</v>
      </c>
      <c r="K14" s="32">
        <v>0.48</v>
      </c>
      <c r="L14" s="32">
        <v>0.48</v>
      </c>
      <c r="M14" s="32">
        <v>0.48</v>
      </c>
    </row>
    <row r="15" spans="1:16">
      <c r="A15" s="158" t="s">
        <v>27</v>
      </c>
      <c r="B15" s="26"/>
      <c r="C15" s="34" t="s">
        <v>26</v>
      </c>
      <c r="D15" s="35">
        <f>QueueInfinite(D13,D14,D12)</f>
        <v>4.4698021916215164E-2</v>
      </c>
      <c r="E15" s="36">
        <f t="shared" ref="E15:M15" si="2">QueueInfinite(E13,E14,E12)</f>
        <v>0.10806920895053322</v>
      </c>
      <c r="F15" s="36">
        <f t="shared" si="2"/>
        <v>7.9932522535111156E-2</v>
      </c>
      <c r="G15" s="36">
        <f t="shared" si="2"/>
        <v>7.4471886331613363E-2</v>
      </c>
      <c r="H15" s="36">
        <f t="shared" si="2"/>
        <v>0.20950238562963033</v>
      </c>
      <c r="I15" s="36">
        <f t="shared" si="2"/>
        <v>0.11846875748721516</v>
      </c>
      <c r="J15" s="36">
        <f t="shared" si="2"/>
        <v>0.13626432870733493</v>
      </c>
      <c r="K15" s="36">
        <f t="shared" si="2"/>
        <v>0.10132824622607614</v>
      </c>
      <c r="L15" s="36">
        <f t="shared" si="2"/>
        <v>0.11555848323564653</v>
      </c>
      <c r="M15" s="159">
        <f t="shared" si="2"/>
        <v>2.2595256186973118E-3</v>
      </c>
    </row>
    <row r="16" spans="1:16" hidden="1">
      <c r="A16" s="154"/>
      <c r="B16" s="26"/>
      <c r="C16" s="27" t="s">
        <v>7</v>
      </c>
      <c r="D16" s="37">
        <f>D15/D13</f>
        <v>4.5550968335241603E-2</v>
      </c>
      <c r="E16" s="38">
        <f t="shared" ref="E16:M16" si="3">E15/E13</f>
        <v>9.326775282493012E-2</v>
      </c>
      <c r="F16" s="38">
        <f t="shared" si="3"/>
        <v>7.3000836226729787E-2</v>
      </c>
      <c r="G16" s="38">
        <f t="shared" si="3"/>
        <v>0.13704137440788089</v>
      </c>
      <c r="H16" s="38">
        <f t="shared" si="3"/>
        <v>0.49718025962531243</v>
      </c>
      <c r="I16" s="38">
        <f t="shared" si="3"/>
        <v>0.13371351928033129</v>
      </c>
      <c r="J16" s="38">
        <f t="shared" si="3"/>
        <v>0.14934435560239168</v>
      </c>
      <c r="K16" s="38">
        <f t="shared" si="3"/>
        <v>0.11820320589966744</v>
      </c>
      <c r="L16" s="38">
        <f t="shared" si="3"/>
        <v>0.32686729182249635</v>
      </c>
      <c r="M16" s="160">
        <f t="shared" si="3"/>
        <v>0.10141177973680848</v>
      </c>
    </row>
    <row r="17" spans="1:17" ht="14.4" thickBot="1">
      <c r="A17" s="161"/>
      <c r="B17" s="26"/>
      <c r="C17" s="39" t="s">
        <v>24</v>
      </c>
      <c r="D17" s="115" t="str">
        <f>TRUNC(D16)&amp;"min "&amp;ROUND((D16-TRUNC(D16))*60,0)&amp;"sec"</f>
        <v>0min 3sec</v>
      </c>
      <c r="E17" s="115" t="str">
        <f t="shared" ref="E17:M17" si="4">TRUNC(E16)&amp;"min "&amp;ROUND((E16-TRUNC(E16))*60,0)&amp;"sec"</f>
        <v>0min 6sec</v>
      </c>
      <c r="F17" s="115" t="str">
        <f t="shared" si="4"/>
        <v>0min 4sec</v>
      </c>
      <c r="G17" s="115" t="str">
        <f t="shared" si="4"/>
        <v>0min 8sec</v>
      </c>
      <c r="H17" s="115" t="str">
        <f t="shared" si="4"/>
        <v>0min 30sec</v>
      </c>
      <c r="I17" s="115" t="str">
        <f t="shared" si="4"/>
        <v>0min 8sec</v>
      </c>
      <c r="J17" s="115" t="str">
        <f t="shared" si="4"/>
        <v>0min 9sec</v>
      </c>
      <c r="K17" s="115" t="str">
        <f t="shared" si="4"/>
        <v>0min 7sec</v>
      </c>
      <c r="L17" s="115" t="str">
        <f t="shared" si="4"/>
        <v>0min 20sec</v>
      </c>
      <c r="M17" s="162" t="str">
        <f t="shared" si="4"/>
        <v>0min 6sec</v>
      </c>
      <c r="O17" s="40" t="s">
        <v>46</v>
      </c>
    </row>
    <row r="18" spans="1:17" ht="28.2" thickBot="1">
      <c r="A18" s="163" t="s">
        <v>29</v>
      </c>
      <c r="B18" s="41">
        <v>3</v>
      </c>
      <c r="C18" s="42" t="str">
        <f>A13&amp;" waiting in line"</f>
        <v>(minutes) waiting in line</v>
      </c>
      <c r="D18" s="43" t="str">
        <f>" = " &amp; ROUND((1-D19)/D19*D15*EXP((D13-D12*D14)*$B$18),4)*100 &amp; "%"</f>
        <v xml:space="preserve"> = 0.09%</v>
      </c>
      <c r="E18" s="44" t="str">
        <f t="shared" ref="E18:M18" si="5">" = " &amp; ROUND((1-E19)/E19*E15*EXP((E13-E12*E14)*$B$18),4)*100 &amp; "%"</f>
        <v xml:space="preserve"> = 0.28%</v>
      </c>
      <c r="F18" s="44" t="str">
        <f t="shared" si="5"/>
        <v xml:space="preserve"> = 0.19%</v>
      </c>
      <c r="G18" s="44" t="str">
        <f t="shared" si="5"/>
        <v xml:space="preserve"> = 0.83%</v>
      </c>
      <c r="H18" s="44" t="str">
        <f t="shared" si="5"/>
        <v xml:space="preserve"> = 5.32%</v>
      </c>
      <c r="I18" s="44" t="str">
        <f t="shared" si="5"/>
        <v xml:space="preserve"> = 0.62%</v>
      </c>
      <c r="J18" s="44" t="str">
        <f t="shared" si="5"/>
        <v xml:space="preserve"> = 0.73%</v>
      </c>
      <c r="K18" s="44" t="str">
        <f t="shared" si="5"/>
        <v xml:space="preserve"> = 0.52%</v>
      </c>
      <c r="L18" s="44" t="str">
        <f t="shared" si="5"/>
        <v xml:space="preserve"> = 3.21%</v>
      </c>
      <c r="M18" s="164" t="str">
        <f t="shared" si="5"/>
        <v xml:space="preserve"> = 1.18%</v>
      </c>
    </row>
    <row r="19" spans="1:17">
      <c r="A19" s="165" t="s">
        <v>28</v>
      </c>
      <c r="B19" s="26"/>
      <c r="C19" s="23" t="s">
        <v>0</v>
      </c>
      <c r="D19" s="45">
        <f>D13/(D12*D14)</f>
        <v>0.40886454183266935</v>
      </c>
      <c r="E19" s="46">
        <f t="shared" ref="E19:M19" si="6">E13/(E12*E14)</f>
        <v>0.48279105799026112</v>
      </c>
      <c r="F19" s="46">
        <f t="shared" si="6"/>
        <v>0.45623063302346167</v>
      </c>
      <c r="G19" s="46">
        <f t="shared" si="6"/>
        <v>0.37737937140327582</v>
      </c>
      <c r="H19" s="46">
        <f t="shared" si="6"/>
        <v>0.43893868968570166</v>
      </c>
      <c r="I19" s="46">
        <f t="shared" si="6"/>
        <v>0.46145279991146526</v>
      </c>
      <c r="J19" s="46">
        <f t="shared" si="6"/>
        <v>0.47521718680832231</v>
      </c>
      <c r="K19" s="46">
        <f t="shared" si="6"/>
        <v>0.44647797698096503</v>
      </c>
      <c r="L19" s="46">
        <f t="shared" si="6"/>
        <v>0.36826388888888889</v>
      </c>
      <c r="M19" s="166">
        <f t="shared" si="6"/>
        <v>4.6418128654970761E-2</v>
      </c>
      <c r="O19" s="47" t="s">
        <v>45</v>
      </c>
      <c r="P19" s="48"/>
      <c r="Q19" s="48"/>
    </row>
    <row r="20" spans="1:17">
      <c r="A20" s="154"/>
      <c r="B20" s="26"/>
      <c r="C20" s="27" t="s">
        <v>8</v>
      </c>
      <c r="D20" s="49">
        <f>D19*D12</f>
        <v>2.0443227091633469</v>
      </c>
      <c r="E20" s="50">
        <f t="shared" ref="E20:M20" si="7">E19*E12</f>
        <v>2.4139552899513057</v>
      </c>
      <c r="F20" s="50">
        <f t="shared" si="7"/>
        <v>2.2811531651173085</v>
      </c>
      <c r="G20" s="50">
        <f t="shared" si="7"/>
        <v>1.1321381142098275</v>
      </c>
      <c r="H20" s="50">
        <f t="shared" si="7"/>
        <v>0.87787737937140331</v>
      </c>
      <c r="I20" s="50">
        <f t="shared" si="7"/>
        <v>1.845811199645861</v>
      </c>
      <c r="J20" s="50">
        <f t="shared" si="7"/>
        <v>1.9008687472332892</v>
      </c>
      <c r="K20" s="50">
        <f t="shared" si="7"/>
        <v>1.7859119079238601</v>
      </c>
      <c r="L20" s="50">
        <f t="shared" si="7"/>
        <v>0.73652777777777778</v>
      </c>
      <c r="M20" s="167">
        <f t="shared" si="7"/>
        <v>4.6418128654970761E-2</v>
      </c>
    </row>
    <row r="21" spans="1:17">
      <c r="A21" s="154"/>
      <c r="B21" s="26"/>
      <c r="C21" s="27" t="s">
        <v>9</v>
      </c>
      <c r="D21" s="49">
        <f>(D12*D19)+D15</f>
        <v>2.0890207310795619</v>
      </c>
      <c r="E21" s="50">
        <f t="shared" ref="E21:M21" si="8">(E12*E19)+E15</f>
        <v>2.522024498901839</v>
      </c>
      <c r="F21" s="50">
        <f t="shared" si="8"/>
        <v>2.3610856876524196</v>
      </c>
      <c r="G21" s="50">
        <f t="shared" si="8"/>
        <v>1.2066100005414409</v>
      </c>
      <c r="H21" s="50">
        <f t="shared" si="8"/>
        <v>1.0873797650010337</v>
      </c>
      <c r="I21" s="50">
        <f t="shared" si="8"/>
        <v>1.9642799571330762</v>
      </c>
      <c r="J21" s="50">
        <f t="shared" si="8"/>
        <v>2.0371330759406243</v>
      </c>
      <c r="K21" s="50">
        <f t="shared" si="8"/>
        <v>1.8872401541499362</v>
      </c>
      <c r="L21" s="50">
        <f t="shared" si="8"/>
        <v>0.85208626101342433</v>
      </c>
      <c r="M21" s="167">
        <f t="shared" si="8"/>
        <v>4.8677654273668075E-2</v>
      </c>
      <c r="P21" s="51"/>
    </row>
    <row r="22" spans="1:17" hidden="1">
      <c r="A22" s="154" t="s">
        <v>12</v>
      </c>
      <c r="B22" s="26"/>
      <c r="C22" s="34" t="s">
        <v>10</v>
      </c>
      <c r="D22" s="146">
        <f>D21/D13</f>
        <v>2.1288843016685752</v>
      </c>
      <c r="E22" s="147">
        <f t="shared" ref="E22:M22" si="9">E21/E13</f>
        <v>2.1766010861582634</v>
      </c>
      <c r="F22" s="147">
        <f t="shared" si="9"/>
        <v>2.1563341695600631</v>
      </c>
      <c r="G22" s="147">
        <f t="shared" si="9"/>
        <v>2.2203747077412146</v>
      </c>
      <c r="H22" s="147">
        <f t="shared" si="9"/>
        <v>2.580513592958646</v>
      </c>
      <c r="I22" s="147">
        <f t="shared" si="9"/>
        <v>2.2170468526136649</v>
      </c>
      <c r="J22" s="147">
        <f t="shared" si="9"/>
        <v>2.2326776889357252</v>
      </c>
      <c r="K22" s="147">
        <f t="shared" si="9"/>
        <v>2.2015365392330009</v>
      </c>
      <c r="L22" s="147">
        <f t="shared" si="9"/>
        <v>2.4102006251558299</v>
      </c>
      <c r="M22" s="168">
        <f t="shared" si="9"/>
        <v>2.1847451130701421</v>
      </c>
    </row>
    <row r="23" spans="1:17" ht="14.4" thickBot="1">
      <c r="A23" s="169"/>
      <c r="B23" s="52"/>
      <c r="C23" s="53" t="s">
        <v>49</v>
      </c>
      <c r="D23" s="145" t="str">
        <f>TRUNC(D22)&amp;"min "&amp;ROUND((D22-TRUNC(D22))*60,0)&amp;"sec"</f>
        <v>2min 8sec</v>
      </c>
      <c r="E23" s="145" t="str">
        <f t="shared" ref="E23:M23" si="10">TRUNC(E22)&amp;"min "&amp;ROUND((E22-TRUNC(E22))*60,0)&amp;"sec"</f>
        <v>2min 11sec</v>
      </c>
      <c r="F23" s="145" t="str">
        <f t="shared" si="10"/>
        <v>2min 9sec</v>
      </c>
      <c r="G23" s="145" t="str">
        <f t="shared" si="10"/>
        <v>2min 13sec</v>
      </c>
      <c r="H23" s="145" t="str">
        <f t="shared" si="10"/>
        <v>2min 35sec</v>
      </c>
      <c r="I23" s="145" t="str">
        <f t="shared" si="10"/>
        <v>2min 13sec</v>
      </c>
      <c r="J23" s="145" t="str">
        <f t="shared" si="10"/>
        <v>2min 14sec</v>
      </c>
      <c r="K23" s="145" t="str">
        <f t="shared" si="10"/>
        <v>2min 12sec</v>
      </c>
      <c r="L23" s="145" t="str">
        <f t="shared" si="10"/>
        <v>2min 25sec</v>
      </c>
      <c r="M23" s="170" t="str">
        <f t="shared" si="10"/>
        <v>2min 11sec</v>
      </c>
    </row>
    <row r="24" spans="1:17" ht="14.4" thickBot="1">
      <c r="A24" s="171" t="s">
        <v>11</v>
      </c>
      <c r="B24" s="54"/>
      <c r="C24" s="55" t="s">
        <v>4</v>
      </c>
      <c r="D24" s="56">
        <v>6</v>
      </c>
      <c r="E24" s="57">
        <v>7</v>
      </c>
      <c r="F24" s="57">
        <v>7</v>
      </c>
      <c r="G24" s="57">
        <v>8</v>
      </c>
      <c r="H24" s="57">
        <v>4</v>
      </c>
      <c r="I24" s="57">
        <v>6</v>
      </c>
      <c r="J24" s="57">
        <v>6</v>
      </c>
      <c r="K24" s="57">
        <v>6</v>
      </c>
      <c r="L24" s="57">
        <v>4</v>
      </c>
      <c r="M24" s="172">
        <v>1</v>
      </c>
    </row>
    <row r="25" spans="1:17">
      <c r="A25" s="173" t="s">
        <v>12</v>
      </c>
      <c r="B25" s="54"/>
      <c r="C25" s="58" t="s">
        <v>5</v>
      </c>
      <c r="D25" s="59">
        <f>D10/60</f>
        <v>1.35</v>
      </c>
      <c r="E25" s="60">
        <f t="shared" ref="E25:M25" si="11">E10/60</f>
        <v>1.6</v>
      </c>
      <c r="F25" s="60">
        <f t="shared" si="11"/>
        <v>1.6333333333333333</v>
      </c>
      <c r="G25" s="60">
        <f t="shared" si="11"/>
        <v>1.7333333333333334</v>
      </c>
      <c r="H25" s="60">
        <f t="shared" si="11"/>
        <v>0.71666666666666667</v>
      </c>
      <c r="I25" s="60">
        <f t="shared" si="11"/>
        <v>1.2833333333333334</v>
      </c>
      <c r="J25" s="60">
        <f t="shared" si="11"/>
        <v>1.4</v>
      </c>
      <c r="K25" s="60">
        <f t="shared" si="11"/>
        <v>1.3666666666666667</v>
      </c>
      <c r="L25" s="60">
        <f t="shared" si="11"/>
        <v>0.8666666666666667</v>
      </c>
      <c r="M25" s="174">
        <f t="shared" si="11"/>
        <v>0.05</v>
      </c>
    </row>
    <row r="26" spans="1:17">
      <c r="A26" s="175"/>
      <c r="B26" s="61"/>
      <c r="C26" s="62" t="s">
        <v>6</v>
      </c>
      <c r="D26" s="63">
        <v>0.48</v>
      </c>
      <c r="E26" s="63">
        <v>0.48</v>
      </c>
      <c r="F26" s="63">
        <v>0.48</v>
      </c>
      <c r="G26" s="63">
        <v>0.48</v>
      </c>
      <c r="H26" s="63">
        <v>0.48</v>
      </c>
      <c r="I26" s="63">
        <v>0.48</v>
      </c>
      <c r="J26" s="63">
        <v>0.48</v>
      </c>
      <c r="K26" s="63">
        <v>0.48</v>
      </c>
      <c r="L26" s="63">
        <v>0.48</v>
      </c>
      <c r="M26" s="63">
        <v>0.48</v>
      </c>
    </row>
    <row r="27" spans="1:17">
      <c r="A27" s="177" t="s">
        <v>27</v>
      </c>
      <c r="B27" s="54"/>
      <c r="C27" s="66" t="s">
        <v>26</v>
      </c>
      <c r="D27" s="67">
        <f>QueueInfinite(D25,D26,D24)</f>
        <v>6.7786884008336989E-2</v>
      </c>
      <c r="E27" s="68">
        <f t="shared" ref="E27:M27" si="12">QueueInfinite(E25,E26,E24)</f>
        <v>5.5692060508666354E-2</v>
      </c>
      <c r="F27" s="68">
        <f t="shared" si="12"/>
        <v>6.3583984843833138E-2</v>
      </c>
      <c r="G27" s="68">
        <f t="shared" si="12"/>
        <v>2.8945633589499399E-2</v>
      </c>
      <c r="H27" s="68">
        <f t="shared" si="12"/>
        <v>4.3795121894958836E-2</v>
      </c>
      <c r="I27" s="68">
        <f t="shared" si="12"/>
        <v>5.0320848640240438E-2</v>
      </c>
      <c r="J27" s="68">
        <f t="shared" si="12"/>
        <v>8.3971534436562828E-2</v>
      </c>
      <c r="K27" s="68">
        <f t="shared" si="12"/>
        <v>7.2862977574576784E-2</v>
      </c>
      <c r="L27" s="68">
        <f t="shared" si="12"/>
        <v>0.10670875768993821</v>
      </c>
      <c r="M27" s="178">
        <f t="shared" si="12"/>
        <v>1.2112403100775194E-2</v>
      </c>
    </row>
    <row r="28" spans="1:17" hidden="1">
      <c r="A28" s="173"/>
      <c r="B28" s="54"/>
      <c r="C28" s="58" t="s">
        <v>7</v>
      </c>
      <c r="D28" s="69">
        <f>D27/D25</f>
        <v>5.021250667284221E-2</v>
      </c>
      <c r="E28" s="70">
        <f t="shared" ref="E28:M28" si="13">E27/E25</f>
        <v>3.480753781791647E-2</v>
      </c>
      <c r="F28" s="70">
        <f t="shared" si="13"/>
        <v>3.8928970312550902E-2</v>
      </c>
      <c r="G28" s="70">
        <f t="shared" si="13"/>
        <v>1.6699403993941962E-2</v>
      </c>
      <c r="H28" s="70">
        <f t="shared" si="13"/>
        <v>6.110947241157047E-2</v>
      </c>
      <c r="I28" s="70">
        <f t="shared" si="13"/>
        <v>3.9211050888499042E-2</v>
      </c>
      <c r="J28" s="70">
        <f t="shared" si="13"/>
        <v>5.9979667454687739E-2</v>
      </c>
      <c r="K28" s="70">
        <f t="shared" si="13"/>
        <v>5.3314373835056182E-2</v>
      </c>
      <c r="L28" s="70">
        <f t="shared" si="13"/>
        <v>0.12312548964223638</v>
      </c>
      <c r="M28" s="179">
        <f t="shared" si="13"/>
        <v>0.24224806201550389</v>
      </c>
      <c r="O28" s="71"/>
    </row>
    <row r="29" spans="1:17" ht="14.4" thickBot="1">
      <c r="A29" s="173"/>
      <c r="B29" s="54"/>
      <c r="C29" s="72" t="s">
        <v>24</v>
      </c>
      <c r="D29" s="117" t="str">
        <f>TRUNC(D28)&amp;"min "&amp;ROUND((D28-TRUNC(D28))*60,0)&amp;"sec"</f>
        <v>0min 3sec</v>
      </c>
      <c r="E29" s="118" t="str">
        <f t="shared" ref="E29:M29" si="14">TRUNC(E28)&amp;"min "&amp;ROUND((E28-TRUNC(E28))*60,0)&amp;"sec"</f>
        <v>0min 2sec</v>
      </c>
      <c r="F29" s="118" t="str">
        <f t="shared" si="14"/>
        <v>0min 2sec</v>
      </c>
      <c r="G29" s="118" t="str">
        <f t="shared" si="14"/>
        <v>0min 1sec</v>
      </c>
      <c r="H29" s="118" t="str">
        <f t="shared" si="14"/>
        <v>0min 4sec</v>
      </c>
      <c r="I29" s="118" t="str">
        <f t="shared" si="14"/>
        <v>0min 2sec</v>
      </c>
      <c r="J29" s="118" t="str">
        <f t="shared" si="14"/>
        <v>0min 4sec</v>
      </c>
      <c r="K29" s="118" t="str">
        <f t="shared" si="14"/>
        <v>0min 3sec</v>
      </c>
      <c r="L29" s="118" t="str">
        <f t="shared" si="14"/>
        <v>0min 7sec</v>
      </c>
      <c r="M29" s="180" t="str">
        <f t="shared" si="14"/>
        <v>0min 15sec</v>
      </c>
      <c r="O29" s="71"/>
    </row>
    <row r="30" spans="1:17" ht="28.2" thickBot="1">
      <c r="A30" s="181" t="s">
        <v>29</v>
      </c>
      <c r="B30" s="41">
        <v>3</v>
      </c>
      <c r="C30" s="73" t="str">
        <f>A25&amp;" waiting in line"</f>
        <v>(minutes) waiting in line</v>
      </c>
      <c r="D30" s="74" t="str">
        <f>" = " &amp; ROUND((1-D31)/D31*D27*EXP((D25-D24*D26)*$B$30),4)*100 &amp; "%"</f>
        <v xml:space="preserve"> = 0.08%</v>
      </c>
      <c r="E30" s="74" t="str">
        <f t="shared" ref="E30:M30" si="15">" = " &amp; ROUND((1-E31)/E31*E27*EXP((E25-E24*E26)*$B$30),4)*100 &amp; "%"</f>
        <v xml:space="preserve"> = 0.03%</v>
      </c>
      <c r="F30" s="74" t="str">
        <f t="shared" si="15"/>
        <v xml:space="preserve"> = 0.04%</v>
      </c>
      <c r="G30" s="74" t="str">
        <f t="shared" si="15"/>
        <v xml:space="preserve"> = 0.01%</v>
      </c>
      <c r="H30" s="74" t="str">
        <f t="shared" si="15"/>
        <v xml:space="preserve"> = 0.2%</v>
      </c>
      <c r="I30" s="74" t="str">
        <f t="shared" si="15"/>
        <v xml:space="preserve"> = 0.05%</v>
      </c>
      <c r="J30" s="74" t="str">
        <f t="shared" si="15"/>
        <v xml:space="preserve"> = 0.1%</v>
      </c>
      <c r="K30" s="74" t="str">
        <f t="shared" si="15"/>
        <v xml:space="preserve"> = 0.09%</v>
      </c>
      <c r="L30" s="74" t="str">
        <f t="shared" si="15"/>
        <v xml:space="preserve"> = 0.55%</v>
      </c>
      <c r="M30" s="182" t="str">
        <f t="shared" si="15"/>
        <v xml:space="preserve"> = 2.87%</v>
      </c>
      <c r="O30" s="71"/>
    </row>
    <row r="31" spans="1:17">
      <c r="A31" s="183" t="s">
        <v>28</v>
      </c>
      <c r="B31" s="54"/>
      <c r="C31" s="75" t="s">
        <v>0</v>
      </c>
      <c r="D31" s="76">
        <f>D25/(D24*D26)</f>
        <v>0.46875000000000006</v>
      </c>
      <c r="E31" s="77">
        <f t="shared" ref="E31:M31" si="16">E25/(E24*E26)</f>
        <v>0.47619047619047622</v>
      </c>
      <c r="F31" s="77">
        <f t="shared" si="16"/>
        <v>0.4861111111111111</v>
      </c>
      <c r="G31" s="77">
        <f t="shared" si="16"/>
        <v>0.4513888888888889</v>
      </c>
      <c r="H31" s="77">
        <f t="shared" si="16"/>
        <v>0.3732638888888889</v>
      </c>
      <c r="I31" s="77">
        <f t="shared" si="16"/>
        <v>0.44560185185185192</v>
      </c>
      <c r="J31" s="77">
        <f t="shared" si="16"/>
        <v>0.4861111111111111</v>
      </c>
      <c r="K31" s="77">
        <f t="shared" si="16"/>
        <v>0.47453703703703709</v>
      </c>
      <c r="L31" s="77">
        <f t="shared" si="16"/>
        <v>0.4513888888888889</v>
      </c>
      <c r="M31" s="184">
        <f t="shared" si="16"/>
        <v>0.10416666666666667</v>
      </c>
    </row>
    <row r="32" spans="1:17">
      <c r="A32" s="173"/>
      <c r="B32" s="54"/>
      <c r="C32" s="58" t="s">
        <v>8</v>
      </c>
      <c r="D32" s="69">
        <f>D31*D24</f>
        <v>2.8125000000000004</v>
      </c>
      <c r="E32" s="70">
        <f t="shared" ref="E32:M32" si="17">E31*E24</f>
        <v>3.3333333333333335</v>
      </c>
      <c r="F32" s="70">
        <f t="shared" si="17"/>
        <v>3.4027777777777777</v>
      </c>
      <c r="G32" s="70">
        <f t="shared" si="17"/>
        <v>3.6111111111111112</v>
      </c>
      <c r="H32" s="70">
        <f t="shared" si="17"/>
        <v>1.4930555555555556</v>
      </c>
      <c r="I32" s="70">
        <f t="shared" si="17"/>
        <v>2.6736111111111116</v>
      </c>
      <c r="J32" s="70">
        <f t="shared" si="17"/>
        <v>2.9166666666666665</v>
      </c>
      <c r="K32" s="70">
        <f t="shared" si="17"/>
        <v>2.8472222222222223</v>
      </c>
      <c r="L32" s="70">
        <f t="shared" si="17"/>
        <v>1.8055555555555556</v>
      </c>
      <c r="M32" s="179">
        <f t="shared" si="17"/>
        <v>0.10416666666666667</v>
      </c>
    </row>
    <row r="33" spans="1:19">
      <c r="A33" s="173"/>
      <c r="B33" s="54"/>
      <c r="C33" s="58" t="s">
        <v>9</v>
      </c>
      <c r="D33" s="69">
        <f>(D24*D31)+D27</f>
        <v>2.8802868840083375</v>
      </c>
      <c r="E33" s="70">
        <f t="shared" ref="E33:M33" si="18">(E24*E31)+E27</f>
        <v>3.3890253938419996</v>
      </c>
      <c r="F33" s="70">
        <f t="shared" si="18"/>
        <v>3.4663617626216108</v>
      </c>
      <c r="G33" s="70">
        <f t="shared" si="18"/>
        <v>3.6400567447006105</v>
      </c>
      <c r="H33" s="70">
        <f t="shared" si="18"/>
        <v>1.5368506774505144</v>
      </c>
      <c r="I33" s="70">
        <f t="shared" si="18"/>
        <v>2.723931959751352</v>
      </c>
      <c r="J33" s="70">
        <f t="shared" si="18"/>
        <v>3.0006382011032295</v>
      </c>
      <c r="K33" s="70">
        <f t="shared" si="18"/>
        <v>2.9200851997967989</v>
      </c>
      <c r="L33" s="70">
        <f t="shared" si="18"/>
        <v>1.9122643132454937</v>
      </c>
      <c r="M33" s="179">
        <f t="shared" si="18"/>
        <v>0.11627906976744187</v>
      </c>
    </row>
    <row r="34" spans="1:19" hidden="1">
      <c r="A34" s="173" t="s">
        <v>12</v>
      </c>
      <c r="B34" s="54"/>
      <c r="C34" s="55" t="s">
        <v>10</v>
      </c>
      <c r="D34" s="148">
        <f>D33/D25</f>
        <v>2.133545840006176</v>
      </c>
      <c r="E34" s="149">
        <f t="shared" ref="E34:M34" si="19">E33/E25</f>
        <v>2.1181408711512497</v>
      </c>
      <c r="F34" s="149">
        <f t="shared" si="19"/>
        <v>2.1222623036458841</v>
      </c>
      <c r="G34" s="149">
        <f t="shared" si="19"/>
        <v>2.1000327373272754</v>
      </c>
      <c r="H34" s="149">
        <f t="shared" si="19"/>
        <v>2.1444428057449039</v>
      </c>
      <c r="I34" s="149">
        <f t="shared" si="19"/>
        <v>2.1225443842218326</v>
      </c>
      <c r="J34" s="149">
        <f t="shared" si="19"/>
        <v>2.1433130007880212</v>
      </c>
      <c r="K34" s="149">
        <f t="shared" si="19"/>
        <v>2.1366477071683896</v>
      </c>
      <c r="L34" s="149">
        <f t="shared" si="19"/>
        <v>2.2064588229755695</v>
      </c>
      <c r="M34" s="185">
        <f t="shared" si="19"/>
        <v>2.3255813953488373</v>
      </c>
    </row>
    <row r="35" spans="1:19" ht="14.4" thickBot="1">
      <c r="A35" s="186"/>
      <c r="B35" s="187"/>
      <c r="C35" s="188" t="s">
        <v>49</v>
      </c>
      <c r="D35" s="189" t="str">
        <f>TRUNC(D34)&amp;"min "&amp;ROUND((D34-TRUNC(D34))*60,0)&amp;"sec"</f>
        <v>2min 8sec</v>
      </c>
      <c r="E35" s="189" t="str">
        <f t="shared" ref="E35:M35" si="20">TRUNC(E34)&amp;"min "&amp;ROUND((E34-TRUNC(E34))*60,0)&amp;"sec"</f>
        <v>2min 7sec</v>
      </c>
      <c r="F35" s="189" t="str">
        <f t="shared" si="20"/>
        <v>2min 7sec</v>
      </c>
      <c r="G35" s="189" t="str">
        <f t="shared" si="20"/>
        <v>2min 6sec</v>
      </c>
      <c r="H35" s="189" t="str">
        <f t="shared" si="20"/>
        <v>2min 9sec</v>
      </c>
      <c r="I35" s="189" t="str">
        <f t="shared" si="20"/>
        <v>2min 7sec</v>
      </c>
      <c r="J35" s="189" t="str">
        <f t="shared" si="20"/>
        <v>2min 9sec</v>
      </c>
      <c r="K35" s="189" t="str">
        <f t="shared" si="20"/>
        <v>2min 8sec</v>
      </c>
      <c r="L35" s="189" t="str">
        <f t="shared" si="20"/>
        <v>2min 12sec</v>
      </c>
      <c r="M35" s="190" t="str">
        <f t="shared" si="20"/>
        <v>2min 20sec</v>
      </c>
    </row>
    <row r="36" spans="1:19">
      <c r="A36" s="78"/>
      <c r="B36" s="78"/>
      <c r="C36" s="79"/>
      <c r="D36" s="80"/>
      <c r="E36" s="80"/>
      <c r="F36" s="80"/>
      <c r="G36" s="80"/>
      <c r="H36" s="80"/>
      <c r="I36" s="80"/>
      <c r="J36" s="80"/>
      <c r="K36" s="80"/>
      <c r="L36" s="80"/>
      <c r="M36" s="80"/>
    </row>
    <row r="37" spans="1:19">
      <c r="A37" s="78"/>
      <c r="B37" s="78"/>
      <c r="C37" s="79"/>
      <c r="D37" s="80"/>
      <c r="E37" s="80"/>
      <c r="F37" s="80"/>
      <c r="G37" s="80"/>
      <c r="H37" s="80"/>
      <c r="I37" s="80"/>
      <c r="J37" s="80"/>
      <c r="K37" s="80"/>
      <c r="L37" s="80"/>
      <c r="M37" s="80"/>
    </row>
    <row r="38" spans="1:19">
      <c r="A38" s="78"/>
      <c r="B38" s="78"/>
      <c r="C38" s="81" t="s">
        <v>41</v>
      </c>
      <c r="D38" s="80"/>
      <c r="E38" s="80"/>
      <c r="F38" s="80"/>
      <c r="G38" s="80"/>
      <c r="H38" s="80"/>
      <c r="I38" s="80"/>
      <c r="J38" s="80"/>
      <c r="K38" s="80"/>
      <c r="L38" s="80"/>
      <c r="M38" s="80"/>
    </row>
    <row r="39" spans="1:19">
      <c r="A39" s="78"/>
      <c r="B39" s="78"/>
      <c r="C39" s="34" t="s">
        <v>3</v>
      </c>
      <c r="D39" s="122" t="str">
        <f>IF(AND(D45&lt;1,E45&lt;1,F45&lt;1,G45&lt;1,H45&lt;1,I45,1,J45,1,K45&lt;1,L45&lt;1,M45&lt;1),"Status is OK! Number of people in line is unchanged","Attention! Changes result in the number of people in line to increase")</f>
        <v>Status is OK! Number of people in line is unchanged</v>
      </c>
      <c r="F39" s="80"/>
      <c r="G39" s="80"/>
      <c r="H39" s="80"/>
      <c r="I39" s="122" t="str">
        <f>IF(OR((D$51-D$16)&gt;1,(E$51-E$16)&gt;1,(F$51-F$16)&gt;1,(G$51-G$16)&gt;1,(H$51-H$16)&gt;1,(I$51-I$16)&gt;1,(J$51-J$16)&gt;1,(K$51-K$16)&gt;1,(L$51-L$16)&gt;1,(M$51-M$16)&gt;1),"Attention! The line's waiting time increased","")</f>
        <v/>
      </c>
      <c r="J39" s="80"/>
      <c r="K39" s="80"/>
      <c r="L39" s="80"/>
      <c r="M39" s="80"/>
    </row>
    <row r="40" spans="1:19">
      <c r="A40" s="15" t="s">
        <v>1</v>
      </c>
      <c r="B40" s="6" t="s">
        <v>38</v>
      </c>
      <c r="C40" s="82" t="s">
        <v>39</v>
      </c>
      <c r="D40" s="83" t="s">
        <v>36</v>
      </c>
      <c r="E40" s="83" t="s">
        <v>36</v>
      </c>
      <c r="F40" s="83" t="s">
        <v>36</v>
      </c>
      <c r="G40" s="83" t="s">
        <v>36</v>
      </c>
      <c r="H40" s="83" t="s">
        <v>36</v>
      </c>
      <c r="I40" s="83" t="s">
        <v>36</v>
      </c>
      <c r="J40" s="83" t="s">
        <v>36</v>
      </c>
      <c r="K40" s="83" t="s">
        <v>36</v>
      </c>
      <c r="L40" s="83" t="s">
        <v>36</v>
      </c>
      <c r="M40" s="83" t="s">
        <v>36</v>
      </c>
      <c r="N40" s="78"/>
      <c r="O40" s="79"/>
      <c r="P40" s="84"/>
      <c r="Q40" s="78"/>
      <c r="R40" s="85"/>
      <c r="S40" s="85"/>
    </row>
    <row r="41" spans="1:19" ht="14.4" thickBot="1">
      <c r="A41" s="13" t="s">
        <v>2</v>
      </c>
      <c r="B41" s="86">
        <f>1-SUM(B42:B44)</f>
        <v>0.19999999999999996</v>
      </c>
      <c r="C41" s="87">
        <f>1-$B$41*$D$19</f>
        <v>0.91822709163346616</v>
      </c>
      <c r="D41" s="88">
        <f>D$15*$B$41*(1-D$19)/($C$41)</f>
        <v>5.755130926841023E-3</v>
      </c>
      <c r="E41" s="88">
        <f t="shared" ref="E41:M41" si="21">E$15*$B$41*(1-E$19)/($C$41)</f>
        <v>1.2174409083422327E-2</v>
      </c>
      <c r="F41" s="88">
        <f t="shared" si="21"/>
        <v>9.4671258506289803E-3</v>
      </c>
      <c r="G41" s="88">
        <f t="shared" si="21"/>
        <v>1.0099404189455511E-2</v>
      </c>
      <c r="H41" s="88">
        <f t="shared" si="21"/>
        <v>2.560231212220699E-2</v>
      </c>
      <c r="I41" s="88">
        <f t="shared" si="21"/>
        <v>1.3896566159730594E-2</v>
      </c>
      <c r="J41" s="88">
        <f t="shared" si="21"/>
        <v>1.5575488549243417E-2</v>
      </c>
      <c r="K41" s="88">
        <f t="shared" si="21"/>
        <v>1.2216458510334888E-2</v>
      </c>
      <c r="L41" s="88">
        <f t="shared" si="21"/>
        <v>1.5900743393514827E-2</v>
      </c>
      <c r="M41" s="88">
        <f t="shared" si="21"/>
        <v>4.693049655061796E-4</v>
      </c>
      <c r="N41" s="78"/>
      <c r="O41" s="89"/>
      <c r="P41" s="90"/>
      <c r="Q41" s="91"/>
      <c r="R41" s="78"/>
      <c r="S41" s="78"/>
    </row>
    <row r="42" spans="1:19" ht="14.4" thickBot="1">
      <c r="A42" s="1">
        <v>2</v>
      </c>
      <c r="B42" s="92">
        <v>0.8</v>
      </c>
      <c r="C42" s="87">
        <f>$C$41-$B$42*$D$19</f>
        <v>0.59113545816733071</v>
      </c>
      <c r="D42" s="88">
        <f>D$15*$B$42*(1-D$19)/($C$42*$C$41)</f>
        <v>3.8942890989374139E-2</v>
      </c>
      <c r="E42" s="88">
        <f t="shared" ref="E42:M42" si="22">E$15*$B$42*(1-E$19)/($C$42*$C$41)</f>
        <v>8.2379826249408719E-2</v>
      </c>
      <c r="F42" s="88">
        <f t="shared" si="22"/>
        <v>6.4060619066766619E-2</v>
      </c>
      <c r="G42" s="88">
        <f t="shared" si="22"/>
        <v>6.8339018070519536E-2</v>
      </c>
      <c r="H42" s="88">
        <f t="shared" si="22"/>
        <v>0.17324159306281933</v>
      </c>
      <c r="I42" s="88">
        <f t="shared" si="22"/>
        <v>9.4033040770813939E-2</v>
      </c>
      <c r="J42" s="88">
        <f t="shared" si="22"/>
        <v>0.10539370179235311</v>
      </c>
      <c r="K42" s="88">
        <f t="shared" si="22"/>
        <v>8.2664359524018405E-2</v>
      </c>
      <c r="L42" s="88">
        <f t="shared" si="22"/>
        <v>0.10759458377144997</v>
      </c>
      <c r="M42" s="88">
        <f t="shared" si="22"/>
        <v>3.175617087570038E-3</v>
      </c>
      <c r="N42" s="78"/>
      <c r="O42" s="78"/>
      <c r="P42" s="93"/>
      <c r="Q42" s="91"/>
      <c r="R42" s="78"/>
      <c r="S42" s="78"/>
    </row>
    <row r="43" spans="1:19" ht="14.4" thickBot="1">
      <c r="A43" s="1">
        <v>3</v>
      </c>
      <c r="B43" s="92">
        <v>0</v>
      </c>
      <c r="C43" s="87">
        <f>$C$42-$B$43*$D$19</f>
        <v>0.59113545816733071</v>
      </c>
      <c r="D43" s="88">
        <f>D$15*$B43*(1-D$19)/($C$43*$C$42)</f>
        <v>0</v>
      </c>
      <c r="E43" s="88">
        <f t="shared" ref="E43:M44" si="23">E$15*$B43*(1-E$19)/($C43*$C42)</f>
        <v>0</v>
      </c>
      <c r="F43" s="88">
        <f t="shared" si="23"/>
        <v>0</v>
      </c>
      <c r="G43" s="88">
        <f t="shared" si="23"/>
        <v>0</v>
      </c>
      <c r="H43" s="88">
        <f t="shared" si="23"/>
        <v>0</v>
      </c>
      <c r="I43" s="88">
        <f t="shared" si="23"/>
        <v>0</v>
      </c>
      <c r="J43" s="88">
        <f t="shared" si="23"/>
        <v>0</v>
      </c>
      <c r="K43" s="88">
        <f t="shared" si="23"/>
        <v>0</v>
      </c>
      <c r="L43" s="88">
        <f t="shared" si="23"/>
        <v>0</v>
      </c>
      <c r="M43" s="88">
        <f t="shared" si="23"/>
        <v>0</v>
      </c>
      <c r="N43" s="78"/>
      <c r="O43" s="78"/>
      <c r="P43" s="93"/>
      <c r="Q43" s="91"/>
      <c r="R43" s="78"/>
      <c r="S43" s="78"/>
    </row>
    <row r="44" spans="1:19" ht="14.4" thickBot="1">
      <c r="A44" s="1">
        <v>4</v>
      </c>
      <c r="B44" s="92">
        <v>0</v>
      </c>
      <c r="C44" s="87">
        <f>$C$43-$B$44*$D$19</f>
        <v>0.59113545816733071</v>
      </c>
      <c r="D44" s="94">
        <f>D$15*$B44*(1-D$19)/($C$44*$C$43)</f>
        <v>0</v>
      </c>
      <c r="E44" s="94">
        <f t="shared" si="23"/>
        <v>0</v>
      </c>
      <c r="F44" s="94">
        <f t="shared" si="23"/>
        <v>0</v>
      </c>
      <c r="G44" s="94">
        <f t="shared" si="23"/>
        <v>0</v>
      </c>
      <c r="H44" s="94">
        <f t="shared" si="23"/>
        <v>0</v>
      </c>
      <c r="I44" s="94">
        <f t="shared" si="23"/>
        <v>0</v>
      </c>
      <c r="J44" s="94">
        <f t="shared" si="23"/>
        <v>0</v>
      </c>
      <c r="K44" s="94">
        <f t="shared" si="23"/>
        <v>0</v>
      </c>
      <c r="L44" s="94">
        <f t="shared" si="23"/>
        <v>0</v>
      </c>
      <c r="M44" s="94">
        <f t="shared" si="23"/>
        <v>0</v>
      </c>
      <c r="N44" s="78"/>
      <c r="O44" s="78"/>
      <c r="P44" s="93"/>
      <c r="Q44" s="91"/>
      <c r="R44" s="78"/>
      <c r="S44" s="78"/>
    </row>
    <row r="45" spans="1:19">
      <c r="B45" s="95"/>
      <c r="C45" s="96" t="s">
        <v>42</v>
      </c>
      <c r="D45" s="88">
        <f>SUM(D41:D44)</f>
        <v>4.4698021916215164E-2</v>
      </c>
      <c r="E45" s="88">
        <f t="shared" ref="E45:M45" si="24">SUM(E41:E44)</f>
        <v>9.4554235332831041E-2</v>
      </c>
      <c r="F45" s="88">
        <f t="shared" si="24"/>
        <v>7.3527744917395596E-2</v>
      </c>
      <c r="G45" s="88">
        <f t="shared" si="24"/>
        <v>7.8438422259975049E-2</v>
      </c>
      <c r="H45" s="88">
        <f t="shared" si="24"/>
        <v>0.19884390518502632</v>
      </c>
      <c r="I45" s="88">
        <f t="shared" si="24"/>
        <v>0.10792960693054453</v>
      </c>
      <c r="J45" s="88">
        <f t="shared" si="24"/>
        <v>0.12096919034159652</v>
      </c>
      <c r="K45" s="88">
        <f t="shared" si="24"/>
        <v>9.488081803435329E-2</v>
      </c>
      <c r="L45" s="88">
        <f t="shared" si="24"/>
        <v>0.12349532716496479</v>
      </c>
      <c r="M45" s="88">
        <f t="shared" si="24"/>
        <v>3.6449220530762176E-3</v>
      </c>
      <c r="N45" s="78"/>
      <c r="O45" s="78"/>
      <c r="P45" s="93"/>
      <c r="Q45" s="91"/>
      <c r="R45" s="78"/>
      <c r="S45" s="78"/>
    </row>
    <row r="46" spans="1:19">
      <c r="C46" s="126" t="s">
        <v>40</v>
      </c>
      <c r="D46" s="127" t="s">
        <v>37</v>
      </c>
      <c r="E46" s="127" t="s">
        <v>37</v>
      </c>
      <c r="F46" s="127" t="s">
        <v>37</v>
      </c>
      <c r="G46" s="127" t="s">
        <v>37</v>
      </c>
      <c r="H46" s="127" t="s">
        <v>37</v>
      </c>
      <c r="I46" s="127" t="s">
        <v>37</v>
      </c>
      <c r="J46" s="127" t="s">
        <v>37</v>
      </c>
      <c r="K46" s="127" t="s">
        <v>37</v>
      </c>
      <c r="L46" s="127" t="s">
        <v>37</v>
      </c>
      <c r="M46" s="127" t="s">
        <v>37</v>
      </c>
      <c r="N46" s="78"/>
      <c r="O46" s="78"/>
      <c r="P46" s="78"/>
      <c r="Q46" s="78"/>
      <c r="R46" s="78"/>
      <c r="S46" s="78"/>
    </row>
    <row r="47" spans="1:19" ht="14.4" thickBot="1">
      <c r="A47" s="13" t="s">
        <v>2</v>
      </c>
      <c r="B47" s="97">
        <f>1-SUM(B48:B50)</f>
        <v>0.19999999999999996</v>
      </c>
      <c r="C47" s="98"/>
      <c r="D47" s="88">
        <f>D$41/(IF($B$41&gt;0,$B$41,1)*D$13)</f>
        <v>2.932476375633571E-2</v>
      </c>
      <c r="E47" s="88">
        <f t="shared" ref="E47:M47" si="25">E$41/(IF($B$41&gt;0,$B$41,1)*E$13)</f>
        <v>5.2534842635054528E-2</v>
      </c>
      <c r="F47" s="88">
        <f t="shared" si="25"/>
        <v>4.3230720227553816E-2</v>
      </c>
      <c r="G47" s="88">
        <f t="shared" si="25"/>
        <v>9.2923403649315769E-2</v>
      </c>
      <c r="H47" s="88">
        <f t="shared" si="25"/>
        <v>0.30379043536120182</v>
      </c>
      <c r="I47" s="88">
        <f t="shared" si="25"/>
        <v>7.842399998708792E-2</v>
      </c>
      <c r="J47" s="88">
        <f t="shared" si="25"/>
        <v>8.5352906466634848E-2</v>
      </c>
      <c r="K47" s="88">
        <f t="shared" si="25"/>
        <v>7.1254788987468426E-2</v>
      </c>
      <c r="L47" s="88">
        <f t="shared" si="25"/>
        <v>0.22488322732672308</v>
      </c>
      <c r="M47" s="88">
        <f t="shared" si="25"/>
        <v>0.10531646863721356</v>
      </c>
    </row>
    <row r="48" spans="1:19" ht="14.4" thickBot="1">
      <c r="A48" s="1">
        <v>2</v>
      </c>
      <c r="B48" s="99">
        <f>$B$42</f>
        <v>0.8</v>
      </c>
      <c r="C48" s="98"/>
      <c r="D48" s="88">
        <f>D$42/(IF($B$42&gt;0,$B$42,1)*D$13)</f>
        <v>4.9607519479968068E-2</v>
      </c>
      <c r="E48" s="88">
        <f t="shared" ref="E48:M48" si="26">E$42/(IF($B$42&gt;0,$B$42,1)*E$13)</f>
        <v>8.8871073303445222E-2</v>
      </c>
      <c r="F48" s="88">
        <f t="shared" si="26"/>
        <v>7.3131664883679906E-2</v>
      </c>
      <c r="G48" s="88">
        <f t="shared" si="26"/>
        <v>0.15719477213801689</v>
      </c>
      <c r="H48" s="88">
        <f t="shared" si="26"/>
        <v>0.51391002039199085</v>
      </c>
      <c r="I48" s="88">
        <f t="shared" si="26"/>
        <v>0.13266671606914279</v>
      </c>
      <c r="J48" s="88">
        <f t="shared" si="26"/>
        <v>0.14438806755265607</v>
      </c>
      <c r="K48" s="88">
        <f t="shared" si="26"/>
        <v>0.12053885112623132</v>
      </c>
      <c r="L48" s="88">
        <f t="shared" si="26"/>
        <v>0.38042588076837391</v>
      </c>
      <c r="M48" s="88">
        <f t="shared" si="26"/>
        <v>0.17815962007036631</v>
      </c>
    </row>
    <row r="49" spans="1:13" ht="14.4" thickBot="1">
      <c r="A49" s="1">
        <v>3</v>
      </c>
      <c r="B49" s="99">
        <f>$B$43</f>
        <v>0</v>
      </c>
      <c r="C49" s="98"/>
      <c r="D49" s="88">
        <f>D$43/(IF($B$43&gt;0,$B$43,1)*D$13)</f>
        <v>0</v>
      </c>
      <c r="E49" s="88">
        <f t="shared" ref="E49:M49" si="27">E$43/(IF($B$43&gt;0,$B$43,1)*E$13)</f>
        <v>0</v>
      </c>
      <c r="F49" s="88">
        <f t="shared" si="27"/>
        <v>0</v>
      </c>
      <c r="G49" s="88">
        <f t="shared" si="27"/>
        <v>0</v>
      </c>
      <c r="H49" s="88">
        <f t="shared" si="27"/>
        <v>0</v>
      </c>
      <c r="I49" s="88">
        <f t="shared" si="27"/>
        <v>0</v>
      </c>
      <c r="J49" s="88">
        <f t="shared" si="27"/>
        <v>0</v>
      </c>
      <c r="K49" s="88">
        <f t="shared" si="27"/>
        <v>0</v>
      </c>
      <c r="L49" s="88">
        <f t="shared" si="27"/>
        <v>0</v>
      </c>
      <c r="M49" s="88">
        <f t="shared" si="27"/>
        <v>0</v>
      </c>
    </row>
    <row r="50" spans="1:13" ht="14.4" thickBot="1">
      <c r="A50" s="1">
        <v>4</v>
      </c>
      <c r="B50" s="99">
        <f>$B$44</f>
        <v>0</v>
      </c>
      <c r="C50" s="98"/>
      <c r="D50" s="94">
        <f>D$44/(IF($B$44&gt;0,$B$44,1)*D$13)</f>
        <v>0</v>
      </c>
      <c r="E50" s="94">
        <f t="shared" ref="E50:M50" si="28">E$44/(IF($B$44&gt;0,$B$44,1)*E$13)</f>
        <v>0</v>
      </c>
      <c r="F50" s="94">
        <f t="shared" si="28"/>
        <v>0</v>
      </c>
      <c r="G50" s="94">
        <f t="shared" si="28"/>
        <v>0</v>
      </c>
      <c r="H50" s="94">
        <f t="shared" si="28"/>
        <v>0</v>
      </c>
      <c r="I50" s="94">
        <f t="shared" si="28"/>
        <v>0</v>
      </c>
      <c r="J50" s="94">
        <f t="shared" si="28"/>
        <v>0</v>
      </c>
      <c r="K50" s="94">
        <f t="shared" si="28"/>
        <v>0</v>
      </c>
      <c r="L50" s="94">
        <f t="shared" si="28"/>
        <v>0</v>
      </c>
      <c r="M50" s="94">
        <f t="shared" si="28"/>
        <v>0</v>
      </c>
    </row>
    <row r="51" spans="1:13" hidden="1">
      <c r="B51" s="100"/>
      <c r="C51" s="96" t="s">
        <v>42</v>
      </c>
      <c r="D51" s="88">
        <f>SUM(D47:D50)</f>
        <v>7.8932283236303774E-2</v>
      </c>
      <c r="E51" s="88">
        <f t="shared" ref="E51:M51" si="29">SUM(E47:E50)</f>
        <v>0.14140591593849974</v>
      </c>
      <c r="F51" s="88">
        <f t="shared" si="29"/>
        <v>0.11636238511123373</v>
      </c>
      <c r="G51" s="88">
        <f t="shared" si="29"/>
        <v>0.25011817578733264</v>
      </c>
      <c r="H51" s="88">
        <f t="shared" si="29"/>
        <v>0.81770045575319261</v>
      </c>
      <c r="I51" s="88">
        <f t="shared" si="29"/>
        <v>0.2110907160562307</v>
      </c>
      <c r="J51" s="88">
        <f t="shared" si="29"/>
        <v>0.22974097401929092</v>
      </c>
      <c r="K51" s="88">
        <f t="shared" si="29"/>
        <v>0.19179364011369976</v>
      </c>
      <c r="L51" s="88">
        <f t="shared" si="29"/>
        <v>0.60530910809509697</v>
      </c>
      <c r="M51" s="88">
        <f t="shared" si="29"/>
        <v>0.2834760887075799</v>
      </c>
    </row>
    <row r="52" spans="1:13">
      <c r="B52" s="100"/>
      <c r="C52" s="101" t="s">
        <v>24</v>
      </c>
      <c r="D52" s="119" t="str">
        <f>TRUNC(D51)&amp;"min "&amp;ROUND((D51-TRUNC(D51))*60,0)&amp;"sec"</f>
        <v>0min 5sec</v>
      </c>
      <c r="E52" s="119" t="str">
        <f t="shared" ref="E52:M52" si="30">TRUNC(E51)&amp;"min "&amp;ROUND((E51-TRUNC(E51))*60,0)&amp;"sec"</f>
        <v>0min 8sec</v>
      </c>
      <c r="F52" s="119" t="str">
        <f t="shared" si="30"/>
        <v>0min 7sec</v>
      </c>
      <c r="G52" s="119" t="str">
        <f t="shared" si="30"/>
        <v>0min 15sec</v>
      </c>
      <c r="H52" s="119" t="str">
        <f t="shared" si="30"/>
        <v>0min 49sec</v>
      </c>
      <c r="I52" s="119" t="str">
        <f t="shared" si="30"/>
        <v>0min 13sec</v>
      </c>
      <c r="J52" s="119" t="str">
        <f t="shared" si="30"/>
        <v>0min 14sec</v>
      </c>
      <c r="K52" s="119" t="str">
        <f t="shared" si="30"/>
        <v>0min 12sec</v>
      </c>
      <c r="L52" s="119" t="str">
        <f t="shared" si="30"/>
        <v>0min 36sec</v>
      </c>
      <c r="M52" s="119" t="str">
        <f t="shared" si="30"/>
        <v>0min 17sec</v>
      </c>
    </row>
    <row r="53" spans="1:13" ht="27.6">
      <c r="B53" s="100"/>
      <c r="C53" s="102" t="s">
        <v>44</v>
      </c>
      <c r="D53" s="116" t="str">
        <f>TRUNC(D51-D16)&amp;"min "&amp;ROUND(((D51-D16)-TRUNC(D51-D16))*60,0)&amp;"sec"</f>
        <v>0min 2sec</v>
      </c>
      <c r="E53" s="116" t="str">
        <f t="shared" ref="E53:M53" si="31">TRUNC(E51-E16)&amp;"min "&amp;ROUND(((E51-E16)-TRUNC(E51-E16))*60,0)&amp;"sec"</f>
        <v>0min 3sec</v>
      </c>
      <c r="F53" s="116" t="str">
        <f t="shared" si="31"/>
        <v>0min 3sec</v>
      </c>
      <c r="G53" s="116" t="str">
        <f t="shared" si="31"/>
        <v>0min 7sec</v>
      </c>
      <c r="H53" s="116" t="str">
        <f t="shared" si="31"/>
        <v>0min 19sec</v>
      </c>
      <c r="I53" s="116" t="str">
        <f t="shared" si="31"/>
        <v>0min 5sec</v>
      </c>
      <c r="J53" s="116" t="str">
        <f t="shared" si="31"/>
        <v>0min 5sec</v>
      </c>
      <c r="K53" s="116" t="str">
        <f t="shared" si="31"/>
        <v>0min 4sec</v>
      </c>
      <c r="L53" s="116" t="str">
        <f t="shared" si="31"/>
        <v>0min 17sec</v>
      </c>
      <c r="M53" s="116" t="str">
        <f t="shared" si="31"/>
        <v>0min 11sec</v>
      </c>
    </row>
    <row r="54" spans="1:13">
      <c r="B54" s="103"/>
      <c r="C54" s="104" t="s">
        <v>11</v>
      </c>
      <c r="D54" s="122" t="str">
        <f>IF(AND(D60&lt;1,E60&lt;1,F60&lt;1,G60&lt;1,H60&lt;1,I60,1,J60,1,K60&lt;1,L60&lt;1,M60&lt;1),"Status is OK! Number of people in line is unchanged","Attention! Changes result in the number of people in line to increase")</f>
        <v>Status is OK! Number of people in line is unchanged</v>
      </c>
      <c r="F54" s="80"/>
      <c r="G54" s="80"/>
      <c r="H54" s="80"/>
      <c r="I54" s="122" t="str">
        <f>IF(OR((D$66-D$28)&gt;1,(E$66-E$28)&gt;1,(F$66-F$28)&gt;1,(G$66-G$28)&gt;1,(H$66-H$28)&gt;1,(I$66-I$28)&gt;1,(J$66-J$28)&gt;1,(K$66-K$28)&gt;1,(L$66-L$28)&gt;1,(M$66-M$28)&gt;1),"Attention! The line's waiting time increased","")</f>
        <v/>
      </c>
    </row>
    <row r="55" spans="1:13">
      <c r="B55" s="103"/>
      <c r="C55" s="105" t="s">
        <v>39</v>
      </c>
      <c r="D55" s="65" t="s">
        <v>36</v>
      </c>
      <c r="E55" s="65" t="s">
        <v>36</v>
      </c>
      <c r="F55" s="65" t="s">
        <v>36</v>
      </c>
      <c r="G55" s="65" t="s">
        <v>36</v>
      </c>
      <c r="H55" s="65" t="s">
        <v>36</v>
      </c>
      <c r="I55" s="65" t="s">
        <v>36</v>
      </c>
      <c r="J55" s="65" t="s">
        <v>36</v>
      </c>
      <c r="K55" s="65" t="s">
        <v>36</v>
      </c>
      <c r="L55" s="65" t="s">
        <v>36</v>
      </c>
      <c r="M55" s="65" t="s">
        <v>36</v>
      </c>
    </row>
    <row r="56" spans="1:13" ht="14.4" thickBot="1">
      <c r="A56" s="13" t="s">
        <v>2</v>
      </c>
      <c r="B56" s="97">
        <f>1-SUM(B57:B59)</f>
        <v>0.19999999999999996</v>
      </c>
      <c r="C56" s="106">
        <f>1-$B$41*$D$31</f>
        <v>0.90625</v>
      </c>
      <c r="D56" s="107">
        <f>D$27*$B$41*(1-D$31)/($C$56)</f>
        <v>7.947427780287784E-3</v>
      </c>
      <c r="E56" s="107">
        <f t="shared" ref="E56:M56" si="32">E$27*$B$41*(1-E$31)/($C$56)</f>
        <v>6.4379656154517403E-3</v>
      </c>
      <c r="F56" s="107">
        <f t="shared" si="32"/>
        <v>7.2110572849711126E-3</v>
      </c>
      <c r="G56" s="107">
        <f t="shared" si="32"/>
        <v>3.5045288177324939E-3</v>
      </c>
      <c r="H56" s="107">
        <f t="shared" si="32"/>
        <v>6.0574862084598231E-3</v>
      </c>
      <c r="I56" s="107">
        <f t="shared" si="32"/>
        <v>6.1567526177969765E-3</v>
      </c>
      <c r="J56" s="107">
        <f t="shared" si="32"/>
        <v>9.5232085031504172E-3</v>
      </c>
      <c r="K56" s="107">
        <f t="shared" si="32"/>
        <v>8.4494998260173319E-3</v>
      </c>
      <c r="L56" s="107">
        <f t="shared" si="32"/>
        <v>1.2919527750965698E-2</v>
      </c>
      <c r="M56" s="107">
        <f t="shared" si="32"/>
        <v>2.3946360153256703E-3</v>
      </c>
    </row>
    <row r="57" spans="1:13" ht="14.4" thickBot="1">
      <c r="A57" s="1">
        <v>2</v>
      </c>
      <c r="B57" s="99">
        <f>$B$42</f>
        <v>0.8</v>
      </c>
      <c r="C57" s="106">
        <f>$C$56-$B$42*$D$31</f>
        <v>0.53125</v>
      </c>
      <c r="D57" s="107">
        <f>D$27*$B$42*(1-D$31)/($C$57*$C$56)</f>
        <v>5.9839456228049211E-2</v>
      </c>
      <c r="E57" s="107">
        <f t="shared" ref="E57:M57" si="33">E$27*$B$42*(1-E$31)/($C$57*$C$56)</f>
        <v>4.8474094045754292E-2</v>
      </c>
      <c r="F57" s="107">
        <f t="shared" si="33"/>
        <v>5.4295019557429568E-2</v>
      </c>
      <c r="G57" s="107">
        <f t="shared" si="33"/>
        <v>2.6387040509985842E-2</v>
      </c>
      <c r="H57" s="107">
        <f t="shared" si="33"/>
        <v>4.5609307922521027E-2</v>
      </c>
      <c r="I57" s="107">
        <f t="shared" si="33"/>
        <v>4.6356725592824305E-2</v>
      </c>
      <c r="J57" s="107">
        <f t="shared" si="33"/>
        <v>7.1704158141367866E-2</v>
      </c>
      <c r="K57" s="107">
        <f t="shared" si="33"/>
        <v>6.3619763395895215E-2</v>
      </c>
      <c r="L57" s="107">
        <f t="shared" si="33"/>
        <v>9.7276444242565277E-2</v>
      </c>
      <c r="M57" s="107">
        <f t="shared" si="33"/>
        <v>1.8030200585981523E-2</v>
      </c>
    </row>
    <row r="58" spans="1:13" ht="14.4" thickBot="1">
      <c r="A58" s="1">
        <v>3</v>
      </c>
      <c r="B58" s="99">
        <f>$B$43</f>
        <v>0</v>
      </c>
      <c r="C58" s="106">
        <f>$C$57-$B$43*$D$31</f>
        <v>0.53125</v>
      </c>
      <c r="D58" s="107">
        <f>D$27*$B$43*(1-D$31)/($C$58*$C$57)</f>
        <v>0</v>
      </c>
      <c r="E58" s="107">
        <f t="shared" ref="E58:M58" si="34">E$27*$B$43*(1-E$31)/($C$58*$C$57)</f>
        <v>0</v>
      </c>
      <c r="F58" s="107">
        <f t="shared" si="34"/>
        <v>0</v>
      </c>
      <c r="G58" s="107">
        <f t="shared" si="34"/>
        <v>0</v>
      </c>
      <c r="H58" s="107">
        <f t="shared" si="34"/>
        <v>0</v>
      </c>
      <c r="I58" s="107">
        <f t="shared" si="34"/>
        <v>0</v>
      </c>
      <c r="J58" s="107">
        <f t="shared" si="34"/>
        <v>0</v>
      </c>
      <c r="K58" s="107">
        <f t="shared" si="34"/>
        <v>0</v>
      </c>
      <c r="L58" s="107">
        <f t="shared" si="34"/>
        <v>0</v>
      </c>
      <c r="M58" s="107">
        <f t="shared" si="34"/>
        <v>0</v>
      </c>
    </row>
    <row r="59" spans="1:13" ht="14.4" thickBot="1">
      <c r="A59" s="1">
        <v>4</v>
      </c>
      <c r="B59" s="99">
        <f>$B$44</f>
        <v>0</v>
      </c>
      <c r="C59" s="106">
        <f>$C$58-$B$44*$D$31</f>
        <v>0.53125</v>
      </c>
      <c r="D59" s="108">
        <f>D$27*$B$44*(1-D$31)/($C$59*$C$58)</f>
        <v>0</v>
      </c>
      <c r="E59" s="108">
        <f t="shared" ref="E59:M59" si="35">E$27*$B$44*(1-E$31)/($C$59*$C$58)</f>
        <v>0</v>
      </c>
      <c r="F59" s="108">
        <f t="shared" si="35"/>
        <v>0</v>
      </c>
      <c r="G59" s="108">
        <f t="shared" si="35"/>
        <v>0</v>
      </c>
      <c r="H59" s="108">
        <f t="shared" si="35"/>
        <v>0</v>
      </c>
      <c r="I59" s="108">
        <f t="shared" si="35"/>
        <v>0</v>
      </c>
      <c r="J59" s="108">
        <f t="shared" si="35"/>
        <v>0</v>
      </c>
      <c r="K59" s="108">
        <f t="shared" si="35"/>
        <v>0</v>
      </c>
      <c r="L59" s="108">
        <f t="shared" si="35"/>
        <v>0</v>
      </c>
      <c r="M59" s="108">
        <f t="shared" si="35"/>
        <v>0</v>
      </c>
    </row>
    <row r="60" spans="1:13">
      <c r="B60" s="100"/>
      <c r="C60" s="55" t="s">
        <v>42</v>
      </c>
      <c r="D60" s="107">
        <f>SUM(D56:D59)</f>
        <v>6.7786884008336989E-2</v>
      </c>
      <c r="E60" s="107">
        <f t="shared" ref="E60:M60" si="36">SUM(E56:E59)</f>
        <v>5.4912059661206034E-2</v>
      </c>
      <c r="F60" s="107">
        <f t="shared" si="36"/>
        <v>6.1506076842400684E-2</v>
      </c>
      <c r="G60" s="107">
        <f t="shared" si="36"/>
        <v>2.9891569327718335E-2</v>
      </c>
      <c r="H60" s="107">
        <f t="shared" si="36"/>
        <v>5.1666794130980853E-2</v>
      </c>
      <c r="I60" s="107">
        <f t="shared" si="36"/>
        <v>5.251347821062128E-2</v>
      </c>
      <c r="J60" s="107">
        <f t="shared" si="36"/>
        <v>8.1227366644518281E-2</v>
      </c>
      <c r="K60" s="107">
        <f t="shared" si="36"/>
        <v>7.2069263221912552E-2</v>
      </c>
      <c r="L60" s="107">
        <f t="shared" si="36"/>
        <v>0.11019597199353097</v>
      </c>
      <c r="M60" s="107">
        <f t="shared" si="36"/>
        <v>2.0424836601307193E-2</v>
      </c>
    </row>
    <row r="61" spans="1:13">
      <c r="B61" s="103"/>
      <c r="C61" s="124" t="s">
        <v>40</v>
      </c>
      <c r="D61" s="125" t="s">
        <v>37</v>
      </c>
      <c r="E61" s="125" t="s">
        <v>37</v>
      </c>
      <c r="F61" s="125" t="s">
        <v>37</v>
      </c>
      <c r="G61" s="125" t="s">
        <v>37</v>
      </c>
      <c r="H61" s="125" t="s">
        <v>37</v>
      </c>
      <c r="I61" s="125" t="s">
        <v>37</v>
      </c>
      <c r="J61" s="125" t="s">
        <v>37</v>
      </c>
      <c r="K61" s="125" t="s">
        <v>37</v>
      </c>
      <c r="L61" s="125" t="s">
        <v>37</v>
      </c>
      <c r="M61" s="125" t="s">
        <v>37</v>
      </c>
    </row>
    <row r="62" spans="1:13" ht="14.4" thickBot="1">
      <c r="A62" s="13" t="s">
        <v>2</v>
      </c>
      <c r="B62" s="97">
        <f>1-SUM(B63:B65)</f>
        <v>0.19999999999999996</v>
      </c>
      <c r="C62" s="109"/>
      <c r="D62" s="107">
        <f>D$56/(IF($B$41&gt;0,$B$41,1)*D$25)</f>
        <v>2.9434917704769574E-2</v>
      </c>
      <c r="E62" s="107">
        <f t="shared" ref="E62:M62" si="37">E$56/(IF($B$41&gt;0,$B$41,1)*E$25)</f>
        <v>2.0118642548286693E-2</v>
      </c>
      <c r="F62" s="107">
        <f t="shared" si="37"/>
        <v>2.2074665158074838E-2</v>
      </c>
      <c r="G62" s="107">
        <f t="shared" si="37"/>
        <v>1.0109217743459119E-2</v>
      </c>
      <c r="H62" s="107">
        <f t="shared" si="37"/>
        <v>4.2261531686929005E-2</v>
      </c>
      <c r="I62" s="107">
        <f t="shared" si="37"/>
        <v>2.3987347861546663E-2</v>
      </c>
      <c r="J62" s="107">
        <f t="shared" si="37"/>
        <v>3.4011458939822929E-2</v>
      </c>
      <c r="K62" s="107">
        <f t="shared" si="37"/>
        <v>3.0912804241526832E-2</v>
      </c>
      <c r="L62" s="107">
        <f t="shared" si="37"/>
        <v>7.4535737024802109E-2</v>
      </c>
      <c r="M62" s="107">
        <f t="shared" si="37"/>
        <v>0.23946360153256707</v>
      </c>
    </row>
    <row r="63" spans="1:13" ht="14.4" thickBot="1">
      <c r="A63" s="1">
        <v>2</v>
      </c>
      <c r="B63" s="99">
        <f>$B$42</f>
        <v>0.8</v>
      </c>
      <c r="C63" s="109"/>
      <c r="D63" s="107">
        <f>D$57/(IF($B$42&gt;0,$B$42,1)*D$25)</f>
        <v>5.5406903914860375E-2</v>
      </c>
      <c r="E63" s="107">
        <f t="shared" ref="E63:M63" si="38">E$57/(IF($B$42&gt;0,$B$42,1)*E$25)</f>
        <v>3.7870385973245532E-2</v>
      </c>
      <c r="F63" s="107">
        <f t="shared" si="38"/>
        <v>4.1552310885787938E-2</v>
      </c>
      <c r="G63" s="107">
        <f t="shared" si="38"/>
        <v>1.9029115752393636E-2</v>
      </c>
      <c r="H63" s="107">
        <f t="shared" si="38"/>
        <v>7.9551118469513418E-2</v>
      </c>
      <c r="I63" s="107">
        <f t="shared" si="38"/>
        <v>4.5152654798205481E-2</v>
      </c>
      <c r="J63" s="107">
        <f t="shared" si="38"/>
        <v>6.4021569769078454E-2</v>
      </c>
      <c r="K63" s="107">
        <f t="shared" si="38"/>
        <v>5.8188807984050496E-2</v>
      </c>
      <c r="L63" s="107">
        <f t="shared" si="38"/>
        <v>0.14030256381139222</v>
      </c>
      <c r="M63" s="107">
        <f t="shared" si="38"/>
        <v>0.45075501464953799</v>
      </c>
    </row>
    <row r="64" spans="1:13" ht="14.4" thickBot="1">
      <c r="A64" s="1">
        <v>3</v>
      </c>
      <c r="B64" s="99">
        <f>$B$43</f>
        <v>0</v>
      </c>
      <c r="C64" s="109"/>
      <c r="D64" s="107">
        <f>D$58/(IF($B$43&gt;0,$B$43,1)*D$25)</f>
        <v>0</v>
      </c>
      <c r="E64" s="107">
        <f t="shared" ref="E64:M64" si="39">E$58/(IF($B$43&gt;0,$B$43,1)*E$25)</f>
        <v>0</v>
      </c>
      <c r="F64" s="107">
        <f t="shared" si="39"/>
        <v>0</v>
      </c>
      <c r="G64" s="107">
        <f t="shared" si="39"/>
        <v>0</v>
      </c>
      <c r="H64" s="107">
        <f t="shared" si="39"/>
        <v>0</v>
      </c>
      <c r="I64" s="107">
        <f t="shared" si="39"/>
        <v>0</v>
      </c>
      <c r="J64" s="107">
        <f t="shared" si="39"/>
        <v>0</v>
      </c>
      <c r="K64" s="107">
        <f t="shared" si="39"/>
        <v>0</v>
      </c>
      <c r="L64" s="107">
        <f t="shared" si="39"/>
        <v>0</v>
      </c>
      <c r="M64" s="107">
        <f t="shared" si="39"/>
        <v>0</v>
      </c>
    </row>
    <row r="65" spans="1:13" ht="14.4" thickBot="1">
      <c r="A65" s="1">
        <v>4</v>
      </c>
      <c r="B65" s="99">
        <f>$B$44</f>
        <v>0</v>
      </c>
      <c r="C65" s="54"/>
      <c r="D65" s="108">
        <f>D$59/(IF($B$44&gt;0,$B$44,1)*D$25)</f>
        <v>0</v>
      </c>
      <c r="E65" s="108">
        <f t="shared" ref="E65:M65" si="40">E$59/(IF($B$44&gt;0,$B$44,1)*E$25)</f>
        <v>0</v>
      </c>
      <c r="F65" s="108">
        <f t="shared" si="40"/>
        <v>0</v>
      </c>
      <c r="G65" s="108">
        <f t="shared" si="40"/>
        <v>0</v>
      </c>
      <c r="H65" s="108">
        <f t="shared" si="40"/>
        <v>0</v>
      </c>
      <c r="I65" s="108">
        <f t="shared" si="40"/>
        <v>0</v>
      </c>
      <c r="J65" s="108">
        <f t="shared" si="40"/>
        <v>0</v>
      </c>
      <c r="K65" s="108">
        <f t="shared" si="40"/>
        <v>0</v>
      </c>
      <c r="L65" s="108">
        <f t="shared" si="40"/>
        <v>0</v>
      </c>
      <c r="M65" s="108">
        <f t="shared" si="40"/>
        <v>0</v>
      </c>
    </row>
    <row r="66" spans="1:13" hidden="1">
      <c r="B66" s="100"/>
      <c r="C66" s="55" t="s">
        <v>42</v>
      </c>
      <c r="D66" s="107">
        <f>SUM(D62:D65)</f>
        <v>8.4841821619629942E-2</v>
      </c>
      <c r="E66" s="107">
        <f t="shared" ref="E66:M66" si="41">SUM(E62:E65)</f>
        <v>5.7989028521532225E-2</v>
      </c>
      <c r="F66" s="107">
        <f t="shared" si="41"/>
        <v>6.3626976043862776E-2</v>
      </c>
      <c r="G66" s="107">
        <f t="shared" si="41"/>
        <v>2.9138333495852757E-2</v>
      </c>
      <c r="H66" s="107">
        <f t="shared" si="41"/>
        <v>0.12181265015644242</v>
      </c>
      <c r="I66" s="107">
        <f t="shared" si="41"/>
        <v>6.9140002659752148E-2</v>
      </c>
      <c r="J66" s="107">
        <f t="shared" si="41"/>
        <v>9.8033028708901376E-2</v>
      </c>
      <c r="K66" s="107">
        <f t="shared" si="41"/>
        <v>8.9101612225577331E-2</v>
      </c>
      <c r="L66" s="107">
        <f t="shared" si="41"/>
        <v>0.21483830083619432</v>
      </c>
      <c r="M66" s="107">
        <f t="shared" si="41"/>
        <v>0.69021861618210512</v>
      </c>
    </row>
    <row r="67" spans="1:13">
      <c r="B67" s="100"/>
      <c r="C67" s="110" t="s">
        <v>24</v>
      </c>
      <c r="D67" s="120" t="str">
        <f>TRUNC(D66)&amp;"min "&amp;ROUND((D66-TRUNC(D66))*60,0)&amp;"sec"</f>
        <v>0min 5sec</v>
      </c>
      <c r="E67" s="120" t="str">
        <f t="shared" ref="E67:M67" si="42">TRUNC(E66)&amp;"min "&amp;ROUND((E66-TRUNC(E66))*60,0)&amp;"sec"</f>
        <v>0min 3sec</v>
      </c>
      <c r="F67" s="120" t="str">
        <f t="shared" si="42"/>
        <v>0min 4sec</v>
      </c>
      <c r="G67" s="120" t="str">
        <f t="shared" si="42"/>
        <v>0min 2sec</v>
      </c>
      <c r="H67" s="120" t="str">
        <f t="shared" si="42"/>
        <v>0min 7sec</v>
      </c>
      <c r="I67" s="120" t="str">
        <f t="shared" si="42"/>
        <v>0min 4sec</v>
      </c>
      <c r="J67" s="120" t="str">
        <f t="shared" si="42"/>
        <v>0min 6sec</v>
      </c>
      <c r="K67" s="120" t="str">
        <f t="shared" si="42"/>
        <v>0min 5sec</v>
      </c>
      <c r="L67" s="120" t="str">
        <f t="shared" si="42"/>
        <v>0min 13sec</v>
      </c>
      <c r="M67" s="120" t="str">
        <f t="shared" si="42"/>
        <v>0min 41sec</v>
      </c>
    </row>
    <row r="68" spans="1:13" ht="27.6">
      <c r="B68" s="100"/>
      <c r="C68" s="111" t="s">
        <v>43</v>
      </c>
      <c r="D68" s="123" t="str">
        <f>TRUNC(D66-D28)&amp;"min "&amp;ROUND(((D66-D28)-TRUNC(D66-D28))*60,0)&amp;"sec"</f>
        <v>0min 2sec</v>
      </c>
      <c r="E68" s="123" t="str">
        <f t="shared" ref="E68:M68" si="43">TRUNC(E66-E28)&amp;"min "&amp;ROUND(((E66-E28)-TRUNC(E66-E28))*60,0)&amp;"sec"</f>
        <v>0min 1sec</v>
      </c>
      <c r="F68" s="123" t="str">
        <f t="shared" si="43"/>
        <v>0min 1sec</v>
      </c>
      <c r="G68" s="123" t="str">
        <f t="shared" si="43"/>
        <v>0min 1sec</v>
      </c>
      <c r="H68" s="123" t="str">
        <f t="shared" si="43"/>
        <v>0min 4sec</v>
      </c>
      <c r="I68" s="123" t="str">
        <f t="shared" si="43"/>
        <v>0min 2sec</v>
      </c>
      <c r="J68" s="123" t="str">
        <f t="shared" si="43"/>
        <v>0min 2sec</v>
      </c>
      <c r="K68" s="123" t="str">
        <f t="shared" si="43"/>
        <v>0min 2sec</v>
      </c>
      <c r="L68" s="123" t="str">
        <f t="shared" si="43"/>
        <v>0min 6sec</v>
      </c>
      <c r="M68" s="123" t="str">
        <f t="shared" si="43"/>
        <v>0min 27sec</v>
      </c>
    </row>
    <row r="70" spans="1:13" ht="14.4" thickBot="1"/>
    <row r="71" spans="1:13" ht="14.4" thickBot="1">
      <c r="A71" s="150" t="s">
        <v>3</v>
      </c>
      <c r="B71" s="151"/>
      <c r="C71" s="152" t="s">
        <v>4</v>
      </c>
      <c r="D71" s="24">
        <v>8</v>
      </c>
      <c r="E71" s="25">
        <v>8</v>
      </c>
      <c r="F71" s="25">
        <v>8</v>
      </c>
      <c r="G71" s="25">
        <v>8</v>
      </c>
      <c r="H71" s="25">
        <v>8</v>
      </c>
      <c r="I71" s="25">
        <v>8</v>
      </c>
      <c r="J71" s="25">
        <v>8</v>
      </c>
      <c r="K71" s="25">
        <v>8</v>
      </c>
      <c r="L71" s="25">
        <v>8</v>
      </c>
      <c r="M71" s="153">
        <v>6</v>
      </c>
    </row>
    <row r="72" spans="1:13">
      <c r="A72" s="154" t="s">
        <v>12</v>
      </c>
      <c r="B72" s="26"/>
      <c r="C72" s="27" t="s">
        <v>5</v>
      </c>
      <c r="D72" s="28">
        <f>D11/60</f>
        <v>1.1656374501992033</v>
      </c>
      <c r="E72" s="28">
        <f t="shared" ref="E72:M72" si="44">E11/60</f>
        <v>1.3793492695883134</v>
      </c>
      <c r="F72" s="28">
        <f t="shared" si="44"/>
        <v>1.3641434262948207</v>
      </c>
      <c r="G72" s="28">
        <f t="shared" si="44"/>
        <v>1.1383798140770254</v>
      </c>
      <c r="H72" s="28">
        <f t="shared" si="44"/>
        <v>0.56902390438247019</v>
      </c>
      <c r="I72" s="28">
        <f t="shared" si="44"/>
        <v>1.0846613545816732</v>
      </c>
      <c r="J72" s="28">
        <f t="shared" si="44"/>
        <v>1.1562084993359893</v>
      </c>
      <c r="K72" s="28">
        <f t="shared" si="44"/>
        <v>1.1119521912350596</v>
      </c>
      <c r="L72" s="28">
        <f t="shared" si="44"/>
        <v>0.61009999999999998</v>
      </c>
      <c r="M72" s="28">
        <f t="shared" si="44"/>
        <v>3.6140350877192987E-2</v>
      </c>
    </row>
    <row r="73" spans="1:13">
      <c r="A73" s="156"/>
      <c r="B73" s="30"/>
      <c r="C73" s="31" t="s">
        <v>6</v>
      </c>
      <c r="D73" s="32">
        <v>0.56302448915104286</v>
      </c>
      <c r="E73" s="33">
        <v>0.56302448915104286</v>
      </c>
      <c r="F73" s="33">
        <v>0.56302448915104286</v>
      </c>
      <c r="G73" s="33">
        <v>0.56302448915104286</v>
      </c>
      <c r="H73" s="33">
        <v>0.56302448915104286</v>
      </c>
      <c r="I73" s="33">
        <v>0.56302448915104286</v>
      </c>
      <c r="J73" s="33">
        <v>0.56302448915104286</v>
      </c>
      <c r="K73" s="33">
        <v>0.56302448915104286</v>
      </c>
      <c r="L73" s="33">
        <v>0.56302448915104286</v>
      </c>
      <c r="M73" s="157">
        <v>0.56302448915104286</v>
      </c>
    </row>
    <row r="74" spans="1:13">
      <c r="A74" s="158" t="s">
        <v>27</v>
      </c>
      <c r="B74" s="26"/>
      <c r="C74" s="34" t="s">
        <v>26</v>
      </c>
      <c r="D74" s="35">
        <f>QueueInfinite(D72,D73,D71)</f>
        <v>4.9736838357102475E-4</v>
      </c>
      <c r="E74" s="36">
        <f t="shared" ref="E74:M74" si="45">QueueInfinite(E72,E73,E71)</f>
        <v>1.7669058567758398E-3</v>
      </c>
      <c r="F74" s="36">
        <f t="shared" si="45"/>
        <v>1.6270706909531595E-3</v>
      </c>
      <c r="G74" s="36">
        <f t="shared" si="45"/>
        <v>4.1510574787194794E-4</v>
      </c>
      <c r="H74" s="36">
        <f t="shared" si="45"/>
        <v>1.6263100773613902E-6</v>
      </c>
      <c r="I74" s="36">
        <f t="shared" si="45"/>
        <v>2.8635969421848107E-4</v>
      </c>
      <c r="J74" s="36">
        <f t="shared" si="45"/>
        <v>4.6747384396082363E-4</v>
      </c>
      <c r="K74" s="36">
        <f t="shared" si="45"/>
        <v>3.4669283064825852E-4</v>
      </c>
      <c r="L74" s="36">
        <f t="shared" si="45"/>
        <v>2.8911299450080034E-6</v>
      </c>
      <c r="M74" s="159">
        <f t="shared" si="45"/>
        <v>9.9594891557676533E-13</v>
      </c>
    </row>
    <row r="75" spans="1:13">
      <c r="A75" s="154"/>
      <c r="B75" s="26"/>
      <c r="C75" s="27" t="s">
        <v>7</v>
      </c>
      <c r="D75" s="37">
        <f>D74/D72</f>
        <v>4.2669217901846433E-4</v>
      </c>
      <c r="E75" s="38">
        <f t="shared" ref="E75:M75" si="46">E74/E72</f>
        <v>1.2809705965938548E-3</v>
      </c>
      <c r="F75" s="38">
        <f t="shared" si="46"/>
        <v>1.1927416572115744E-3</v>
      </c>
      <c r="G75" s="38">
        <f t="shared" si="46"/>
        <v>3.6464608976618845E-4</v>
      </c>
      <c r="H75" s="38">
        <f t="shared" si="46"/>
        <v>2.8580698716450824E-6</v>
      </c>
      <c r="I75" s="38">
        <f t="shared" si="46"/>
        <v>2.6400838658893939E-4</v>
      </c>
      <c r="J75" s="38">
        <f t="shared" si="46"/>
        <v>4.0431621479109859E-4</v>
      </c>
      <c r="K75" s="38">
        <f t="shared" si="46"/>
        <v>3.1178753311613365E-4</v>
      </c>
      <c r="L75" s="38">
        <f t="shared" si="46"/>
        <v>4.7387804376462933E-6</v>
      </c>
      <c r="M75" s="160">
        <f t="shared" si="46"/>
        <v>2.7557809799939621E-11</v>
      </c>
    </row>
    <row r="76" spans="1:13" ht="14.4" thickBot="1">
      <c r="A76" s="161"/>
      <c r="B76" s="26"/>
      <c r="C76" s="39" t="s">
        <v>24</v>
      </c>
      <c r="D76" s="115" t="str">
        <f>TRUNC(D75)&amp;"min "&amp;ROUND((D75-TRUNC(D75))*60,0)&amp;"sec"</f>
        <v>0min 0sec</v>
      </c>
      <c r="E76" s="115" t="str">
        <f t="shared" ref="E76:M76" si="47">TRUNC(E75)&amp;"min "&amp;ROUND((E75-TRUNC(E75))*60,0)&amp;"sec"</f>
        <v>0min 0sec</v>
      </c>
      <c r="F76" s="115" t="str">
        <f t="shared" si="47"/>
        <v>0min 0sec</v>
      </c>
      <c r="G76" s="115" t="str">
        <f t="shared" si="47"/>
        <v>0min 0sec</v>
      </c>
      <c r="H76" s="115" t="str">
        <f t="shared" si="47"/>
        <v>0min 0sec</v>
      </c>
      <c r="I76" s="115" t="str">
        <f t="shared" si="47"/>
        <v>0min 0sec</v>
      </c>
      <c r="J76" s="115" t="str">
        <f t="shared" si="47"/>
        <v>0min 0sec</v>
      </c>
      <c r="K76" s="115" t="str">
        <f t="shared" si="47"/>
        <v>0min 0sec</v>
      </c>
      <c r="L76" s="115" t="str">
        <f t="shared" si="47"/>
        <v>0min 0sec</v>
      </c>
      <c r="M76" s="162" t="str">
        <f t="shared" si="47"/>
        <v>0min 0sec</v>
      </c>
    </row>
    <row r="77" spans="1:13" ht="28.2" thickBot="1">
      <c r="A77" s="163" t="s">
        <v>29</v>
      </c>
      <c r="B77" s="41">
        <v>3</v>
      </c>
      <c r="C77" s="42" t="str">
        <f>A72&amp;" waiting in line"</f>
        <v>(minutes) waiting in line</v>
      </c>
      <c r="D77" s="43" t="str">
        <f>" = " &amp; ROUND((1-D78)/D78*D74*EXP((D72-D71*D73)*$B$18),4)*100 &amp; "%"</f>
        <v xml:space="preserve"> = 0%</v>
      </c>
      <c r="E77" s="44" t="str">
        <f t="shared" ref="E77:M77" si="48">" = " &amp; ROUND((1-E78)/E78*E74*EXP((E72-E71*E73)*$B$18),4)*100 &amp; "%"</f>
        <v xml:space="preserve"> = 0%</v>
      </c>
      <c r="F77" s="44" t="str">
        <f t="shared" si="48"/>
        <v xml:space="preserve"> = 0%</v>
      </c>
      <c r="G77" s="44" t="str">
        <f t="shared" si="48"/>
        <v xml:space="preserve"> = 0%</v>
      </c>
      <c r="H77" s="44" t="str">
        <f t="shared" si="48"/>
        <v xml:space="preserve"> = 0%</v>
      </c>
      <c r="I77" s="44" t="str">
        <f t="shared" si="48"/>
        <v xml:space="preserve"> = 0%</v>
      </c>
      <c r="J77" s="44" t="str">
        <f t="shared" si="48"/>
        <v xml:space="preserve"> = 0%</v>
      </c>
      <c r="K77" s="44" t="str">
        <f t="shared" si="48"/>
        <v xml:space="preserve"> = 0%</v>
      </c>
      <c r="L77" s="44" t="str">
        <f t="shared" si="48"/>
        <v xml:space="preserve"> = 0%</v>
      </c>
      <c r="M77" s="164" t="str">
        <f t="shared" si="48"/>
        <v xml:space="preserve"> = 0%</v>
      </c>
    </row>
    <row r="78" spans="1:13">
      <c r="A78" s="165" t="s">
        <v>28</v>
      </c>
      <c r="B78" s="26"/>
      <c r="C78" s="23" t="s">
        <v>0</v>
      </c>
      <c r="D78" s="45">
        <f>D72/(D71*D73)</f>
        <v>0.25878924288817595</v>
      </c>
      <c r="E78" s="46">
        <f t="shared" ref="E78:M78" si="49">E72/(E71*E73)</f>
        <v>0.30623651727568874</v>
      </c>
      <c r="F78" s="46">
        <f t="shared" si="49"/>
        <v>0.3028605887888966</v>
      </c>
      <c r="G78" s="46">
        <f t="shared" si="49"/>
        <v>0.25273763308979968</v>
      </c>
      <c r="H78" s="46">
        <f t="shared" si="49"/>
        <v>0.12633196143041522</v>
      </c>
      <c r="I78" s="46">
        <f t="shared" si="49"/>
        <v>0.24081131804257333</v>
      </c>
      <c r="J78" s="46">
        <f t="shared" si="49"/>
        <v>0.25669587238544894</v>
      </c>
      <c r="K78" s="46">
        <f t="shared" si="49"/>
        <v>0.24687029886384651</v>
      </c>
      <c r="L78" s="46">
        <f t="shared" si="49"/>
        <v>0.13545147941076682</v>
      </c>
      <c r="M78" s="166">
        <f t="shared" si="49"/>
        <v>1.0698276769360204E-2</v>
      </c>
    </row>
    <row r="79" spans="1:13">
      <c r="A79" s="154"/>
      <c r="B79" s="26"/>
      <c r="C79" s="27" t="s">
        <v>8</v>
      </c>
      <c r="D79" s="49">
        <f>D78*D71</f>
        <v>2.0703139431054076</v>
      </c>
      <c r="E79" s="50">
        <f t="shared" ref="E79:M79" si="50">E78*E71</f>
        <v>2.4498921382055099</v>
      </c>
      <c r="F79" s="50">
        <f t="shared" si="50"/>
        <v>2.4228847103111728</v>
      </c>
      <c r="G79" s="50">
        <f t="shared" si="50"/>
        <v>2.0219010647183975</v>
      </c>
      <c r="H79" s="50">
        <f t="shared" si="50"/>
        <v>1.0106556914433218</v>
      </c>
      <c r="I79" s="50">
        <f t="shared" si="50"/>
        <v>1.9264905443405866</v>
      </c>
      <c r="J79" s="50">
        <f t="shared" si="50"/>
        <v>2.0535669790835915</v>
      </c>
      <c r="K79" s="50">
        <f t="shared" si="50"/>
        <v>1.9749623909107721</v>
      </c>
      <c r="L79" s="50">
        <f t="shared" si="50"/>
        <v>1.0836118352861346</v>
      </c>
      <c r="M79" s="167">
        <f t="shared" si="50"/>
        <v>6.4189660616161215E-2</v>
      </c>
    </row>
    <row r="80" spans="1:13">
      <c r="A80" s="154"/>
      <c r="B80" s="26"/>
      <c r="C80" s="27" t="s">
        <v>9</v>
      </c>
      <c r="D80" s="49">
        <f>(D71*D78)+D74</f>
        <v>2.0708113114889786</v>
      </c>
      <c r="E80" s="50">
        <f t="shared" ref="E80:M80" si="51">(E71*E78)+E74</f>
        <v>2.4516590440622856</v>
      </c>
      <c r="F80" s="50">
        <f t="shared" si="51"/>
        <v>2.4245117810021259</v>
      </c>
      <c r="G80" s="50">
        <f t="shared" si="51"/>
        <v>2.0223161704662695</v>
      </c>
      <c r="H80" s="50">
        <f t="shared" si="51"/>
        <v>1.0106573177533991</v>
      </c>
      <c r="I80" s="50">
        <f t="shared" si="51"/>
        <v>1.9267769040348051</v>
      </c>
      <c r="J80" s="50">
        <f t="shared" si="51"/>
        <v>2.0540344529275525</v>
      </c>
      <c r="K80" s="50">
        <f t="shared" si="51"/>
        <v>1.9753090837414204</v>
      </c>
      <c r="L80" s="50">
        <f t="shared" si="51"/>
        <v>1.0836147264160796</v>
      </c>
      <c r="M80" s="167">
        <f t="shared" si="51"/>
        <v>6.4189660617157168E-2</v>
      </c>
    </row>
    <row r="81" spans="1:13">
      <c r="A81" s="154" t="s">
        <v>12</v>
      </c>
      <c r="B81" s="26"/>
      <c r="C81" s="34" t="s">
        <v>10</v>
      </c>
      <c r="D81" s="146">
        <f>D80/D72</f>
        <v>1.7765483694223143</v>
      </c>
      <c r="E81" s="147">
        <f t="shared" ref="E81:M81" si="52">E80/E72</f>
        <v>1.7774026478398894</v>
      </c>
      <c r="F81" s="147">
        <f t="shared" si="52"/>
        <v>1.777314418900507</v>
      </c>
      <c r="G81" s="147">
        <f t="shared" si="52"/>
        <v>1.7764863233330621</v>
      </c>
      <c r="H81" s="147">
        <f t="shared" si="52"/>
        <v>1.7761245353131674</v>
      </c>
      <c r="I81" s="147">
        <f t="shared" si="52"/>
        <v>1.7763856856298847</v>
      </c>
      <c r="J81" s="147">
        <f t="shared" si="52"/>
        <v>1.776525993458087</v>
      </c>
      <c r="K81" s="147">
        <f t="shared" si="52"/>
        <v>1.776433464776412</v>
      </c>
      <c r="L81" s="147">
        <f t="shared" si="52"/>
        <v>1.7761264160237331</v>
      </c>
      <c r="M81" s="168">
        <f t="shared" si="52"/>
        <v>1.7761216772708535</v>
      </c>
    </row>
    <row r="82" spans="1:13" ht="14.4" thickBot="1">
      <c r="A82" s="169"/>
      <c r="B82" s="52"/>
      <c r="C82" s="53" t="s">
        <v>49</v>
      </c>
      <c r="D82" s="145" t="str">
        <f>TRUNC(D81)&amp;"min "&amp;ROUND((D81-TRUNC(D81))*60,0)&amp;"sec"</f>
        <v>1min 47sec</v>
      </c>
      <c r="E82" s="145" t="str">
        <f t="shared" ref="E82:M82" si="53">TRUNC(E81)&amp;"min "&amp;ROUND((E81-TRUNC(E81))*60,0)&amp;"sec"</f>
        <v>1min 47sec</v>
      </c>
      <c r="F82" s="145" t="str">
        <f t="shared" si="53"/>
        <v>1min 47sec</v>
      </c>
      <c r="G82" s="145" t="str">
        <f t="shared" si="53"/>
        <v>1min 47sec</v>
      </c>
      <c r="H82" s="145" t="str">
        <f t="shared" si="53"/>
        <v>1min 47sec</v>
      </c>
      <c r="I82" s="145" t="str">
        <f t="shared" si="53"/>
        <v>1min 47sec</v>
      </c>
      <c r="J82" s="145" t="str">
        <f t="shared" si="53"/>
        <v>1min 47sec</v>
      </c>
      <c r="K82" s="145" t="str">
        <f t="shared" si="53"/>
        <v>1min 47sec</v>
      </c>
      <c r="L82" s="145" t="str">
        <f t="shared" si="53"/>
        <v>1min 47sec</v>
      </c>
      <c r="M82" s="170" t="str">
        <f t="shared" si="53"/>
        <v>1min 47sec</v>
      </c>
    </row>
  </sheetData>
  <mergeCells count="1">
    <mergeCell ref="D5:E5"/>
  </mergeCells>
  <conditionalFormatting sqref="D28:M28">
    <cfRule type="cellIs" dxfId="106" priority="30" stopIfTrue="1" operator="greaterThan">
      <formula>2.9</formula>
    </cfRule>
  </conditionalFormatting>
  <conditionalFormatting sqref="D31:M31">
    <cfRule type="cellIs" dxfId="105" priority="24" operator="greaterThanOrEqual">
      <formula>0.49</formula>
    </cfRule>
    <cfRule type="cellIs" dxfId="104" priority="28" operator="greaterThan">
      <formula>1</formula>
    </cfRule>
  </conditionalFormatting>
  <conditionalFormatting sqref="D15:M15">
    <cfRule type="cellIs" dxfId="103" priority="27" stopIfTrue="1" operator="greaterThan">
      <formula>3</formula>
    </cfRule>
  </conditionalFormatting>
  <conditionalFormatting sqref="D27:M27">
    <cfRule type="cellIs" dxfId="102" priority="26" stopIfTrue="1" operator="greaterThan">
      <formula>3</formula>
    </cfRule>
  </conditionalFormatting>
  <conditionalFormatting sqref="D22:M22">
    <cfRule type="cellIs" dxfId="101" priority="23" stopIfTrue="1" operator="greaterThan">
      <formula>5</formula>
    </cfRule>
  </conditionalFormatting>
  <conditionalFormatting sqref="D19:M19">
    <cfRule type="cellIs" dxfId="100" priority="25" operator="greaterThanOrEqual">
      <formula>0.49</formula>
    </cfRule>
    <cfRule type="cellIs" dxfId="99" priority="29" operator="greaterThan">
      <formula>1</formula>
    </cfRule>
  </conditionalFormatting>
  <conditionalFormatting sqref="D17:M17">
    <cfRule type="expression" dxfId="98" priority="21" stopIfTrue="1">
      <formula>D$16&gt;2.9</formula>
    </cfRule>
  </conditionalFormatting>
  <conditionalFormatting sqref="D16:M16">
    <cfRule type="cellIs" dxfId="97" priority="20" stopIfTrue="1" operator="greaterThan">
      <formula>2.9</formula>
    </cfRule>
  </conditionalFormatting>
  <conditionalFormatting sqref="D29:M29">
    <cfRule type="expression" dxfId="96" priority="19" stopIfTrue="1">
      <formula>D$28&gt;2.9</formula>
    </cfRule>
  </conditionalFormatting>
  <conditionalFormatting sqref="D39">
    <cfRule type="expression" dxfId="95" priority="13">
      <formula>IF(AND(D45&lt;1,E45&lt;1,F45&lt;1,G45&lt;1,H45&lt;1,I45&lt;1,J45&lt;1,K45&lt;1,L45&lt;1,M45&lt;1),FALSE,TRUE)</formula>
    </cfRule>
    <cfRule type="expression" dxfId="94" priority="14">
      <formula>AND(D45&lt;1,E45&lt;1,F45&lt;1,G45&lt;1,H45&lt;1,I45,1,J45,1,K45&lt;1,L45&lt;1,M45)</formula>
    </cfRule>
  </conditionalFormatting>
  <conditionalFormatting sqref="D45:M45">
    <cfRule type="cellIs" dxfId="93" priority="12" operator="greaterThan">
      <formula>0.99</formula>
    </cfRule>
  </conditionalFormatting>
  <conditionalFormatting sqref="D53:M53">
    <cfRule type="expression" dxfId="92" priority="11">
      <formula>(D$51-D$16)&gt;1</formula>
    </cfRule>
  </conditionalFormatting>
  <conditionalFormatting sqref="D54">
    <cfRule type="expression" dxfId="91" priority="9">
      <formula>IF(AND(D60&lt;1,E60&lt;1,F60&lt;1,G60&lt;1,H60&lt;1,I60&lt;1,J60&lt;1,K60&lt;1,L60&lt;1,M60&lt;1),FALSE,TRUE)</formula>
    </cfRule>
    <cfRule type="expression" dxfId="90" priority="10">
      <formula>AND(D60&lt;1,E60&lt;1,F60&lt;1,G60&lt;1,H60&lt;1,I60&lt;1,J60&lt;1,K60&lt;1,L60&lt;1,M60&lt;1)</formula>
    </cfRule>
  </conditionalFormatting>
  <conditionalFormatting sqref="D68:M68">
    <cfRule type="expression" dxfId="89" priority="8">
      <formula>(D$66-D$28)&gt;1</formula>
    </cfRule>
  </conditionalFormatting>
  <conditionalFormatting sqref="D74:M74">
    <cfRule type="cellIs" dxfId="88" priority="5" stopIfTrue="1" operator="greaterThan">
      <formula>3</formula>
    </cfRule>
  </conditionalFormatting>
  <conditionalFormatting sqref="D81:M81">
    <cfRule type="cellIs" dxfId="87" priority="3" stopIfTrue="1" operator="greaterThan">
      <formula>5</formula>
    </cfRule>
  </conditionalFormatting>
  <conditionalFormatting sqref="D78:M78">
    <cfRule type="cellIs" dxfId="86" priority="4" operator="greaterThanOrEqual">
      <formula>0.49</formula>
    </cfRule>
    <cfRule type="cellIs" dxfId="85" priority="6" operator="greaterThan">
      <formula>1</formula>
    </cfRule>
  </conditionalFormatting>
  <conditionalFormatting sqref="D76:M76">
    <cfRule type="expression" dxfId="84" priority="2" stopIfTrue="1">
      <formula>D$16&gt;2.9</formula>
    </cfRule>
  </conditionalFormatting>
  <conditionalFormatting sqref="D75:M75">
    <cfRule type="cellIs" dxfId="83" priority="1" stopIfTrue="1" operator="greaterThan">
      <formula>2.9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</sheetPr>
  <dimension ref="A2:S67"/>
  <sheetViews>
    <sheetView workbookViewId="0">
      <pane ySplit="10" topLeftCell="A11" activePane="bottomLeft" state="frozen"/>
      <selection activeCell="O31" sqref="O31"/>
      <selection pane="bottomLeft" activeCell="J10" sqref="J10"/>
    </sheetView>
  </sheetViews>
  <sheetFormatPr defaultRowHeight="13.8"/>
  <cols>
    <col min="1" max="1" width="16.33203125" style="1" customWidth="1"/>
    <col min="2" max="2" width="4.6640625" style="1" customWidth="1"/>
    <col min="3" max="3" width="31.44140625" style="1" customWidth="1"/>
    <col min="4" max="4" width="9.5546875" style="1" customWidth="1"/>
    <col min="5" max="5" width="9.5546875" style="1" bestFit="1" customWidth="1"/>
    <col min="6" max="6" width="9.88671875" style="1" bestFit="1" customWidth="1"/>
    <col min="7" max="8" width="10.5546875" style="1" bestFit="1" customWidth="1"/>
    <col min="9" max="11" width="9.5546875" style="1" bestFit="1" customWidth="1"/>
    <col min="12" max="13" width="10.5546875" style="1" bestFit="1" customWidth="1"/>
    <col min="14" max="16" width="8.88671875" style="1"/>
    <col min="17" max="17" width="8.44140625" style="1" customWidth="1"/>
    <col min="18" max="16384" width="8.88671875" style="1"/>
  </cols>
  <sheetData>
    <row r="2" spans="1:16">
      <c r="A2" s="121" t="s">
        <v>48</v>
      </c>
    </row>
    <row r="4" spans="1:16" ht="14.4" thickBo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6" ht="14.4" thickBot="1">
      <c r="A5" s="7"/>
      <c r="B5" s="7"/>
      <c r="C5" s="8" t="s">
        <v>35</v>
      </c>
      <c r="D5" s="206" t="s">
        <v>30</v>
      </c>
      <c r="E5" s="207"/>
      <c r="F5" s="9" t="s">
        <v>33</v>
      </c>
      <c r="G5" s="10" t="s">
        <v>34</v>
      </c>
      <c r="H5" s="11" t="s">
        <v>34</v>
      </c>
      <c r="I5" s="12" t="s">
        <v>34</v>
      </c>
      <c r="J5" s="7"/>
      <c r="K5" s="7"/>
      <c r="L5" s="7"/>
      <c r="M5" s="7"/>
    </row>
    <row r="6" spans="1:16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6">
      <c r="C7" s="13" t="s">
        <v>13</v>
      </c>
      <c r="D7" s="14" t="s">
        <v>14</v>
      </c>
      <c r="E7" s="14" t="s">
        <v>15</v>
      </c>
      <c r="F7" s="14" t="s">
        <v>16</v>
      </c>
      <c r="G7" s="14" t="s">
        <v>17</v>
      </c>
      <c r="H7" s="14" t="s">
        <v>18</v>
      </c>
      <c r="I7" s="14" t="s">
        <v>19</v>
      </c>
      <c r="J7" s="14" t="s">
        <v>20</v>
      </c>
      <c r="K7" s="14" t="s">
        <v>21</v>
      </c>
      <c r="L7" s="14" t="s">
        <v>22</v>
      </c>
      <c r="M7" s="14" t="s">
        <v>23</v>
      </c>
    </row>
    <row r="8" spans="1:16">
      <c r="C8" s="15" t="s">
        <v>58</v>
      </c>
      <c r="D8" s="16" t="str">
        <f>$D$12&amp;" to "&amp;$D$24</f>
        <v>3 to 5</v>
      </c>
      <c r="E8" s="16" t="str">
        <f>$E$12&amp;" to "&amp;$E$24</f>
        <v>4 to 5</v>
      </c>
      <c r="F8" s="16" t="str">
        <f>$F$12&amp;" to "&amp;$F$24</f>
        <v>3 to 5</v>
      </c>
      <c r="G8" s="16" t="str">
        <f>$G$12&amp;" to "&amp;$G$24</f>
        <v>2 to 6</v>
      </c>
      <c r="H8" s="16" t="str">
        <f>$H$12&amp;" to "&amp;$H$24</f>
        <v>2 to 2</v>
      </c>
      <c r="I8" s="16" t="str">
        <f>$I$12&amp;" to "&amp;$I$24</f>
        <v>3 to 4</v>
      </c>
      <c r="J8" s="16" t="str">
        <f>$J$12&amp;" to "&amp;$J$24</f>
        <v>3 to 4</v>
      </c>
      <c r="K8" s="16" t="str">
        <f>$K$12&amp;" to "&amp;$K$24</f>
        <v>3 to 5</v>
      </c>
      <c r="L8" s="16" t="str">
        <f>$L$12&amp;" to "&amp;$L$24</f>
        <v>1 to 2</v>
      </c>
      <c r="M8" s="16" t="str">
        <f>$M$12&amp;" to "&amp;$M$24</f>
        <v>1 to 1</v>
      </c>
    </row>
    <row r="9" spans="1:16">
      <c r="B9" s="17"/>
      <c r="C9" s="18" t="s">
        <v>31</v>
      </c>
      <c r="D9" s="19">
        <v>41.884462151394423</v>
      </c>
      <c r="E9" s="19">
        <v>46.661354581673308</v>
      </c>
      <c r="F9" s="19">
        <v>43.44</v>
      </c>
      <c r="G9" s="19">
        <v>18.573705179282868</v>
      </c>
      <c r="H9" s="19">
        <v>15.721115537848606</v>
      </c>
      <c r="I9" s="19">
        <v>35.637450199203187</v>
      </c>
      <c r="J9" s="19">
        <v>34.258964143426297</v>
      </c>
      <c r="K9" s="19">
        <v>30.524000000000001</v>
      </c>
      <c r="L9" s="19">
        <v>10.188000000000001</v>
      </c>
      <c r="M9" s="19">
        <v>1.271186440677966</v>
      </c>
      <c r="N9" s="20"/>
      <c r="O9" s="20"/>
      <c r="P9" s="20"/>
    </row>
    <row r="10" spans="1:16">
      <c r="B10" s="17"/>
      <c r="C10" s="18" t="s">
        <v>32</v>
      </c>
      <c r="D10" s="21">
        <v>59</v>
      </c>
      <c r="E10" s="21">
        <v>70</v>
      </c>
      <c r="F10" s="21">
        <v>68</v>
      </c>
      <c r="G10" s="21">
        <v>71</v>
      </c>
      <c r="H10" s="21">
        <v>28</v>
      </c>
      <c r="I10" s="21">
        <v>58</v>
      </c>
      <c r="J10" s="21">
        <v>55</v>
      </c>
      <c r="K10" s="21">
        <v>60</v>
      </c>
      <c r="L10" s="21">
        <v>24</v>
      </c>
      <c r="M10" s="21">
        <v>3</v>
      </c>
      <c r="N10" s="20"/>
      <c r="O10" s="20"/>
      <c r="P10" s="20"/>
    </row>
    <row r="11" spans="1:16" ht="14.4" thickBot="1">
      <c r="C11" s="15"/>
      <c r="D11" s="22"/>
      <c r="E11" s="16"/>
      <c r="F11" s="16"/>
      <c r="G11" s="16"/>
      <c r="H11" s="16"/>
      <c r="I11" s="16"/>
      <c r="J11" s="16"/>
      <c r="K11" s="16"/>
      <c r="L11" s="16"/>
      <c r="M11" s="16"/>
    </row>
    <row r="12" spans="1:16" ht="14.4" thickBot="1">
      <c r="A12" s="150" t="s">
        <v>3</v>
      </c>
      <c r="B12" s="151"/>
      <c r="C12" s="152" t="s">
        <v>4</v>
      </c>
      <c r="D12" s="24">
        <v>3</v>
      </c>
      <c r="E12" s="25">
        <v>4</v>
      </c>
      <c r="F12" s="25">
        <v>3</v>
      </c>
      <c r="G12" s="25">
        <v>2</v>
      </c>
      <c r="H12" s="25">
        <v>2</v>
      </c>
      <c r="I12" s="25">
        <v>3</v>
      </c>
      <c r="J12" s="25">
        <v>3</v>
      </c>
      <c r="K12" s="25">
        <v>3</v>
      </c>
      <c r="L12" s="25">
        <v>1</v>
      </c>
      <c r="M12" s="153">
        <v>1</v>
      </c>
    </row>
    <row r="13" spans="1:16">
      <c r="A13" s="154" t="s">
        <v>12</v>
      </c>
      <c r="B13" s="26"/>
      <c r="C13" s="27" t="s">
        <v>5</v>
      </c>
      <c r="D13" s="28">
        <f>D9/60</f>
        <v>0.69807436918990706</v>
      </c>
      <c r="E13" s="29">
        <f t="shared" ref="E13:M13" si="0">E9/60</f>
        <v>0.77768924302788844</v>
      </c>
      <c r="F13" s="29">
        <f t="shared" si="0"/>
        <v>0.72399999999999998</v>
      </c>
      <c r="G13" s="29">
        <f t="shared" si="0"/>
        <v>0.30956175298804778</v>
      </c>
      <c r="H13" s="29">
        <f t="shared" si="0"/>
        <v>0.26201859229747676</v>
      </c>
      <c r="I13" s="29">
        <f t="shared" si="0"/>
        <v>0.59395750332005315</v>
      </c>
      <c r="J13" s="29">
        <f t="shared" si="0"/>
        <v>0.57098273572377167</v>
      </c>
      <c r="K13" s="29">
        <f t="shared" si="0"/>
        <v>0.50873333333333337</v>
      </c>
      <c r="L13" s="29">
        <f t="shared" si="0"/>
        <v>0.16980000000000001</v>
      </c>
      <c r="M13" s="155">
        <f t="shared" si="0"/>
        <v>2.1186440677966101E-2</v>
      </c>
    </row>
    <row r="14" spans="1:16">
      <c r="A14" s="156"/>
      <c r="B14" s="30"/>
      <c r="C14" s="31" t="s">
        <v>6</v>
      </c>
      <c r="D14" s="32">
        <v>0.48</v>
      </c>
      <c r="E14" s="32">
        <v>0.48</v>
      </c>
      <c r="F14" s="32">
        <v>0.48</v>
      </c>
      <c r="G14" s="32">
        <v>0.48</v>
      </c>
      <c r="H14" s="32">
        <v>0.48</v>
      </c>
      <c r="I14" s="32">
        <v>0.48</v>
      </c>
      <c r="J14" s="32">
        <v>0.48</v>
      </c>
      <c r="K14" s="32">
        <v>0.48</v>
      </c>
      <c r="L14" s="32">
        <v>0.48</v>
      </c>
      <c r="M14" s="32">
        <v>0.48</v>
      </c>
    </row>
    <row r="15" spans="1:16">
      <c r="A15" s="158" t="s">
        <v>27</v>
      </c>
      <c r="B15" s="26"/>
      <c r="C15" s="34" t="s">
        <v>26</v>
      </c>
      <c r="D15" s="35">
        <f>QueueInfinite(D13,D14,D12)</f>
        <v>0.20772974587470702</v>
      </c>
      <c r="E15" s="36">
        <f t="shared" ref="E15:M15" si="1">QueueInfinite(E13,E14,E12)</f>
        <v>6.4116504042245462E-2</v>
      </c>
      <c r="F15" s="36">
        <f t="shared" si="1"/>
        <v>0.24250816946568374</v>
      </c>
      <c r="G15" s="36">
        <f t="shared" si="1"/>
        <v>7.4841201937050197E-2</v>
      </c>
      <c r="H15" s="36">
        <f t="shared" si="1"/>
        <v>4.3937305708876051E-2</v>
      </c>
      <c r="I15" s="36">
        <f t="shared" si="1"/>
        <v>0.10657664136864886</v>
      </c>
      <c r="J15" s="36">
        <f t="shared" si="1"/>
        <v>9.0852020882659451E-2</v>
      </c>
      <c r="K15" s="36">
        <f t="shared" si="1"/>
        <v>5.7237354860652997E-2</v>
      </c>
      <c r="L15" s="36">
        <f t="shared" si="1"/>
        <v>0.19363878143133464</v>
      </c>
      <c r="M15" s="159">
        <f t="shared" si="1"/>
        <v>2.038161159913929E-3</v>
      </c>
    </row>
    <row r="16" spans="1:16" hidden="1">
      <c r="A16" s="154"/>
      <c r="B16" s="26"/>
      <c r="C16" s="27" t="s">
        <v>7</v>
      </c>
      <c r="D16" s="37">
        <f>D15/D13</f>
        <v>0.29757538027899627</v>
      </c>
      <c r="E16" s="38">
        <f t="shared" ref="E16:M16" si="2">E15/E13</f>
        <v>8.244488993137096E-2</v>
      </c>
      <c r="F16" s="38">
        <f t="shared" si="2"/>
        <v>0.33495603517359634</v>
      </c>
      <c r="G16" s="38">
        <f t="shared" si="2"/>
        <v>0.24176501526640415</v>
      </c>
      <c r="H16" s="38">
        <f t="shared" si="2"/>
        <v>0.16768774049054064</v>
      </c>
      <c r="I16" s="38">
        <f t="shared" si="2"/>
        <v>0.17943479251110697</v>
      </c>
      <c r="J16" s="38">
        <f t="shared" si="2"/>
        <v>0.15911518019454018</v>
      </c>
      <c r="K16" s="38">
        <f t="shared" si="2"/>
        <v>0.11250954303627243</v>
      </c>
      <c r="L16" s="38">
        <f t="shared" si="2"/>
        <v>1.1403932946486139</v>
      </c>
      <c r="M16" s="160">
        <f t="shared" si="2"/>
        <v>9.6201206747937459E-2</v>
      </c>
    </row>
    <row r="17" spans="1:17" ht="14.4" thickBot="1">
      <c r="A17" s="161"/>
      <c r="B17" s="26"/>
      <c r="C17" s="39" t="s">
        <v>24</v>
      </c>
      <c r="D17" s="115" t="str">
        <f>TRUNC(D16)&amp;"min "&amp;ROUND((D16-TRUNC(D16))*60,0)&amp;"sec"</f>
        <v>0min 18sec</v>
      </c>
      <c r="E17" s="115" t="str">
        <f t="shared" ref="E17:M17" si="3">TRUNC(E16)&amp;"min "&amp;ROUND((E16-TRUNC(E16))*60,0)&amp;"sec"</f>
        <v>0min 5sec</v>
      </c>
      <c r="F17" s="115" t="str">
        <f t="shared" si="3"/>
        <v>0min 20sec</v>
      </c>
      <c r="G17" s="115" t="str">
        <f t="shared" si="3"/>
        <v>0min 15sec</v>
      </c>
      <c r="H17" s="115" t="str">
        <f t="shared" si="3"/>
        <v>0min 10sec</v>
      </c>
      <c r="I17" s="115" t="str">
        <f t="shared" si="3"/>
        <v>0min 11sec</v>
      </c>
      <c r="J17" s="115" t="str">
        <f t="shared" si="3"/>
        <v>0min 10sec</v>
      </c>
      <c r="K17" s="115" t="str">
        <f t="shared" si="3"/>
        <v>0min 7sec</v>
      </c>
      <c r="L17" s="115" t="str">
        <f t="shared" si="3"/>
        <v>1min 8sec</v>
      </c>
      <c r="M17" s="162" t="str">
        <f t="shared" si="3"/>
        <v>0min 6sec</v>
      </c>
      <c r="O17" s="40" t="s">
        <v>46</v>
      </c>
    </row>
    <row r="18" spans="1:17" ht="28.2" thickBot="1">
      <c r="A18" s="163" t="s">
        <v>29</v>
      </c>
      <c r="B18" s="41">
        <v>3</v>
      </c>
      <c r="C18" s="42" t="str">
        <f>A13&amp;" waiting in line"</f>
        <v>(minutes) waiting in line</v>
      </c>
      <c r="D18" s="43" t="str">
        <f>" = " &amp; ROUND((1-D19)/D19*D15*EXP((D13-D12*D14)*$B$18),4)*100 &amp; "%"</f>
        <v xml:space="preserve"> = 2.38%</v>
      </c>
      <c r="E18" s="44" t="str">
        <f t="shared" ref="E18:M18" si="4">" = " &amp; ROUND((1-E19)/E19*E15*EXP((E13-E12*E14)*$B$18),4)*100 &amp; "%"</f>
        <v xml:space="preserve"> = 0.31%</v>
      </c>
      <c r="F18" s="44" t="str">
        <f t="shared" si="4"/>
        <v xml:space="preserve"> = 2.8%</v>
      </c>
      <c r="G18" s="44" t="str">
        <f t="shared" si="4"/>
        <v xml:space="preserve"> = 2.23%</v>
      </c>
      <c r="H18" s="44" t="str">
        <f t="shared" si="4"/>
        <v xml:space="preserve"> = 1.44%</v>
      </c>
      <c r="I18" s="44" t="str">
        <f t="shared" si="4"/>
        <v xml:space="preserve"> = 1.2%</v>
      </c>
      <c r="J18" s="44" t="str">
        <f t="shared" si="4"/>
        <v xml:space="preserve"> = 1.02%</v>
      </c>
      <c r="K18" s="44" t="str">
        <f t="shared" si="4"/>
        <v xml:space="preserve"> = 0.64%</v>
      </c>
      <c r="L18" s="44" t="str">
        <f t="shared" si="4"/>
        <v xml:space="preserve"> = 13.95%</v>
      </c>
      <c r="M18" s="164" t="str">
        <f t="shared" si="4"/>
        <v xml:space="preserve"> = 1.11%</v>
      </c>
    </row>
    <row r="19" spans="1:17">
      <c r="A19" s="165" t="s">
        <v>28</v>
      </c>
      <c r="B19" s="26"/>
      <c r="C19" s="23" t="s">
        <v>0</v>
      </c>
      <c r="D19" s="45">
        <f>D13/(D12*D14)</f>
        <v>0.48477386749299101</v>
      </c>
      <c r="E19" s="46">
        <f t="shared" ref="E19:M19" si="5">E13/(E12*E14)</f>
        <v>0.40504648074369193</v>
      </c>
      <c r="F19" s="46">
        <f t="shared" si="5"/>
        <v>0.50277777777777777</v>
      </c>
      <c r="G19" s="46">
        <f t="shared" si="5"/>
        <v>0.32246015936254979</v>
      </c>
      <c r="H19" s="46">
        <f t="shared" si="5"/>
        <v>0.27293603364320496</v>
      </c>
      <c r="I19" s="46">
        <f t="shared" si="5"/>
        <v>0.41247048841670358</v>
      </c>
      <c r="J19" s="46">
        <f t="shared" si="5"/>
        <v>0.39651578869706366</v>
      </c>
      <c r="K19" s="46">
        <f t="shared" si="5"/>
        <v>0.35328703703703707</v>
      </c>
      <c r="L19" s="46">
        <f t="shared" si="5"/>
        <v>0.35375000000000001</v>
      </c>
      <c r="M19" s="166">
        <f t="shared" si="5"/>
        <v>4.4138418079096048E-2</v>
      </c>
      <c r="O19" s="47" t="s">
        <v>45</v>
      </c>
      <c r="P19" s="48"/>
      <c r="Q19" s="48"/>
    </row>
    <row r="20" spans="1:17">
      <c r="A20" s="154"/>
      <c r="B20" s="26"/>
      <c r="C20" s="27" t="s">
        <v>8</v>
      </c>
      <c r="D20" s="49">
        <f>D19*D12</f>
        <v>1.4543216024789731</v>
      </c>
      <c r="E20" s="50">
        <f t="shared" ref="E20:M20" si="6">E19*E12</f>
        <v>1.6201859229747677</v>
      </c>
      <c r="F20" s="50">
        <f t="shared" si="6"/>
        <v>1.5083333333333333</v>
      </c>
      <c r="G20" s="50">
        <f t="shared" si="6"/>
        <v>0.64492031872509958</v>
      </c>
      <c r="H20" s="50">
        <f t="shared" si="6"/>
        <v>0.54587206728640991</v>
      </c>
      <c r="I20" s="50">
        <f t="shared" si="6"/>
        <v>1.2374114652501107</v>
      </c>
      <c r="J20" s="50">
        <f t="shared" si="6"/>
        <v>1.189547366091191</v>
      </c>
      <c r="K20" s="50">
        <f t="shared" si="6"/>
        <v>1.0598611111111111</v>
      </c>
      <c r="L20" s="50">
        <f t="shared" si="6"/>
        <v>0.35375000000000001</v>
      </c>
      <c r="M20" s="167">
        <f t="shared" si="6"/>
        <v>4.4138418079096048E-2</v>
      </c>
    </row>
    <row r="21" spans="1:17">
      <c r="A21" s="154"/>
      <c r="B21" s="26"/>
      <c r="C21" s="27" t="s">
        <v>9</v>
      </c>
      <c r="D21" s="49">
        <f>(D12*D19)+D15</f>
        <v>1.6620513483536801</v>
      </c>
      <c r="E21" s="50">
        <f t="shared" ref="E21:M21" si="7">(E12*E19)+E15</f>
        <v>1.6843024270170133</v>
      </c>
      <c r="F21" s="50">
        <f t="shared" si="7"/>
        <v>1.750841502799017</v>
      </c>
      <c r="G21" s="50">
        <f t="shared" si="7"/>
        <v>0.71976152066214982</v>
      </c>
      <c r="H21" s="50">
        <f t="shared" si="7"/>
        <v>0.58980937299528602</v>
      </c>
      <c r="I21" s="50">
        <f t="shared" si="7"/>
        <v>1.3439881066187596</v>
      </c>
      <c r="J21" s="50">
        <f t="shared" si="7"/>
        <v>1.2803993869738506</v>
      </c>
      <c r="K21" s="50">
        <f t="shared" si="7"/>
        <v>1.1170984659717642</v>
      </c>
      <c r="L21" s="50">
        <f t="shared" si="7"/>
        <v>0.54738878143133463</v>
      </c>
      <c r="M21" s="167">
        <f t="shared" si="7"/>
        <v>4.6176579239009974E-2</v>
      </c>
      <c r="P21" s="51"/>
    </row>
    <row r="22" spans="1:17">
      <c r="A22" s="156" t="s">
        <v>12</v>
      </c>
      <c r="B22" s="30"/>
      <c r="C22" s="142" t="s">
        <v>10</v>
      </c>
      <c r="D22" s="143">
        <f>D21/D13</f>
        <v>2.3809087136123295</v>
      </c>
      <c r="E22" s="144">
        <f t="shared" ref="E22:M22" si="8">E21/E13</f>
        <v>2.1657782232647045</v>
      </c>
      <c r="F22" s="144">
        <f t="shared" si="8"/>
        <v>2.4182893685069295</v>
      </c>
      <c r="G22" s="144">
        <f t="shared" si="8"/>
        <v>2.3250983485997376</v>
      </c>
      <c r="H22" s="144">
        <f t="shared" si="8"/>
        <v>2.2510210738238743</v>
      </c>
      <c r="I22" s="144">
        <f t="shared" si="8"/>
        <v>2.2627681258444401</v>
      </c>
      <c r="J22" s="144">
        <f t="shared" si="8"/>
        <v>2.242448513527874</v>
      </c>
      <c r="K22" s="144">
        <f t="shared" si="8"/>
        <v>2.1958428763696056</v>
      </c>
      <c r="L22" s="144">
        <f t="shared" si="8"/>
        <v>3.223726627981947</v>
      </c>
      <c r="M22" s="191">
        <f t="shared" si="8"/>
        <v>2.1795345400812707</v>
      </c>
    </row>
    <row r="23" spans="1:17">
      <c r="A23" s="154"/>
      <c r="B23" s="26"/>
      <c r="C23" s="34"/>
      <c r="D23" s="115" t="str">
        <f>TRUNC(D22)&amp;"min "&amp;ROUND((D22-TRUNC(D22))*60,0)&amp;"sec"</f>
        <v>2min 23sec</v>
      </c>
      <c r="E23" s="115" t="str">
        <f t="shared" ref="E23:M23" si="9">TRUNC(E22)&amp;"min "&amp;ROUND((E22-TRUNC(E22))*60,0)&amp;"sec"</f>
        <v>2min 10sec</v>
      </c>
      <c r="F23" s="115" t="str">
        <f t="shared" si="9"/>
        <v>2min 25sec</v>
      </c>
      <c r="G23" s="115" t="str">
        <f t="shared" si="9"/>
        <v>2min 20sec</v>
      </c>
      <c r="H23" s="115" t="str">
        <f t="shared" si="9"/>
        <v>2min 15sec</v>
      </c>
      <c r="I23" s="115" t="str">
        <f t="shared" si="9"/>
        <v>2min 16sec</v>
      </c>
      <c r="J23" s="115" t="str">
        <f t="shared" si="9"/>
        <v>2min 15sec</v>
      </c>
      <c r="K23" s="115" t="str">
        <f t="shared" si="9"/>
        <v>2min 12sec</v>
      </c>
      <c r="L23" s="115" t="str">
        <f t="shared" si="9"/>
        <v>3min 13sec</v>
      </c>
      <c r="M23" s="162" t="str">
        <f t="shared" si="9"/>
        <v>2min 11sec</v>
      </c>
    </row>
    <row r="24" spans="1:17" ht="14.4" thickBot="1">
      <c r="A24" s="171" t="s">
        <v>11</v>
      </c>
      <c r="B24" s="54"/>
      <c r="C24" s="55" t="s">
        <v>4</v>
      </c>
      <c r="D24" s="56">
        <v>5</v>
      </c>
      <c r="E24" s="57">
        <v>5</v>
      </c>
      <c r="F24" s="57">
        <v>5</v>
      </c>
      <c r="G24" s="57">
        <v>6</v>
      </c>
      <c r="H24" s="57">
        <v>2</v>
      </c>
      <c r="I24" s="57">
        <v>4</v>
      </c>
      <c r="J24" s="57">
        <v>4</v>
      </c>
      <c r="K24" s="57">
        <v>5</v>
      </c>
      <c r="L24" s="57">
        <v>2</v>
      </c>
      <c r="M24" s="172">
        <v>1</v>
      </c>
    </row>
    <row r="25" spans="1:17">
      <c r="A25" s="173" t="s">
        <v>12</v>
      </c>
      <c r="B25" s="54"/>
      <c r="C25" s="58" t="s">
        <v>5</v>
      </c>
      <c r="D25" s="59">
        <f>D10/60</f>
        <v>0.98333333333333328</v>
      </c>
      <c r="E25" s="60">
        <f t="shared" ref="E25:M25" si="10">E10/60</f>
        <v>1.1666666666666667</v>
      </c>
      <c r="F25" s="60">
        <f t="shared" si="10"/>
        <v>1.1333333333333333</v>
      </c>
      <c r="G25" s="60">
        <f t="shared" si="10"/>
        <v>1.1833333333333333</v>
      </c>
      <c r="H25" s="60">
        <f t="shared" si="10"/>
        <v>0.46666666666666667</v>
      </c>
      <c r="I25" s="60">
        <f t="shared" si="10"/>
        <v>0.96666666666666667</v>
      </c>
      <c r="J25" s="60">
        <f t="shared" si="10"/>
        <v>0.91666666666666663</v>
      </c>
      <c r="K25" s="60">
        <f t="shared" si="10"/>
        <v>1</v>
      </c>
      <c r="L25" s="60">
        <f t="shared" si="10"/>
        <v>0.4</v>
      </c>
      <c r="M25" s="174">
        <f t="shared" si="10"/>
        <v>0.05</v>
      </c>
    </row>
    <row r="26" spans="1:17">
      <c r="A26" s="175"/>
      <c r="B26" s="61"/>
      <c r="C26" s="62" t="s">
        <v>6</v>
      </c>
      <c r="D26" s="63">
        <v>0.48</v>
      </c>
      <c r="E26" s="63">
        <v>0.48</v>
      </c>
      <c r="F26" s="63">
        <v>0.48</v>
      </c>
      <c r="G26" s="63">
        <v>0.48</v>
      </c>
      <c r="H26" s="63">
        <v>0.48</v>
      </c>
      <c r="I26" s="63">
        <v>0.48</v>
      </c>
      <c r="J26" s="63">
        <v>0.48</v>
      </c>
      <c r="K26" s="63">
        <v>0.48</v>
      </c>
      <c r="L26" s="63">
        <v>0.48</v>
      </c>
      <c r="M26" s="63">
        <v>0.48</v>
      </c>
    </row>
    <row r="27" spans="1:17">
      <c r="A27" s="177" t="s">
        <v>27</v>
      </c>
      <c r="B27" s="54"/>
      <c r="C27" s="66" t="s">
        <v>26</v>
      </c>
      <c r="D27" s="67">
        <f>QueueInfinite(D25,D26,D24)</f>
        <v>4.5196681556314025E-2</v>
      </c>
      <c r="E27" s="68">
        <f t="shared" ref="E27:M27" si="11">QueueInfinite(E25,E26,E24)</f>
        <v>0.11210281787731419</v>
      </c>
      <c r="F27" s="68">
        <f t="shared" si="11"/>
        <v>9.6025100520299778E-2</v>
      </c>
      <c r="G27" s="68">
        <f t="shared" si="11"/>
        <v>3.1206454469557044E-2</v>
      </c>
      <c r="H27" s="68">
        <f t="shared" si="11"/>
        <v>0.30082652746204158</v>
      </c>
      <c r="I27" s="68">
        <f t="shared" si="11"/>
        <v>0.17982464779040036</v>
      </c>
      <c r="J27" s="68">
        <f t="shared" si="11"/>
        <v>0.13932230145857649</v>
      </c>
      <c r="K27" s="68">
        <f t="shared" si="11"/>
        <v>4.9403368935275964E-2</v>
      </c>
      <c r="L27" s="68">
        <f t="shared" si="11"/>
        <v>0.17507002801120455</v>
      </c>
      <c r="M27" s="178">
        <f t="shared" si="11"/>
        <v>1.2112403100775194E-2</v>
      </c>
    </row>
    <row r="28" spans="1:17" hidden="1">
      <c r="A28" s="173"/>
      <c r="B28" s="54"/>
      <c r="C28" s="58" t="s">
        <v>7</v>
      </c>
      <c r="D28" s="69">
        <f>D27/D25</f>
        <v>4.5962727006421046E-2</v>
      </c>
      <c r="E28" s="70">
        <f t="shared" ref="E28:M28" si="12">E27/E25</f>
        <v>9.6088129609126438E-2</v>
      </c>
      <c r="F28" s="70">
        <f t="shared" si="12"/>
        <v>8.4728029870852747E-2</v>
      </c>
      <c r="G28" s="70">
        <f t="shared" si="12"/>
        <v>2.6371651664414401E-2</v>
      </c>
      <c r="H28" s="70">
        <f t="shared" si="12"/>
        <v>0.64462827313294624</v>
      </c>
      <c r="I28" s="70">
        <f t="shared" si="12"/>
        <v>0.18602549771420726</v>
      </c>
      <c r="J28" s="70">
        <f t="shared" si="12"/>
        <v>0.15198796522753799</v>
      </c>
      <c r="K28" s="70">
        <f t="shared" si="12"/>
        <v>4.9403368935275964E-2</v>
      </c>
      <c r="L28" s="70">
        <f t="shared" si="12"/>
        <v>0.43767507002801137</v>
      </c>
      <c r="M28" s="179">
        <f t="shared" si="12"/>
        <v>0.24224806201550389</v>
      </c>
      <c r="O28" s="71"/>
    </row>
    <row r="29" spans="1:17" ht="14.4" thickBot="1">
      <c r="A29" s="173"/>
      <c r="B29" s="54"/>
      <c r="C29" s="72" t="s">
        <v>24</v>
      </c>
      <c r="D29" s="117" t="str">
        <f>TRUNC(D28)&amp;"min "&amp;ROUND((D28-TRUNC(D28))*60,0)&amp;"sec"</f>
        <v>0min 3sec</v>
      </c>
      <c r="E29" s="118" t="str">
        <f t="shared" ref="E29:M29" si="13">TRUNC(E28)&amp;"min "&amp;ROUND((E28-TRUNC(E28))*60,0)&amp;"sec"</f>
        <v>0min 6sec</v>
      </c>
      <c r="F29" s="118" t="str">
        <f t="shared" si="13"/>
        <v>0min 5sec</v>
      </c>
      <c r="G29" s="118" t="str">
        <f t="shared" si="13"/>
        <v>0min 2sec</v>
      </c>
      <c r="H29" s="118" t="str">
        <f t="shared" si="13"/>
        <v>0min 39sec</v>
      </c>
      <c r="I29" s="118" t="str">
        <f t="shared" si="13"/>
        <v>0min 11sec</v>
      </c>
      <c r="J29" s="118" t="str">
        <f t="shared" si="13"/>
        <v>0min 9sec</v>
      </c>
      <c r="K29" s="118" t="str">
        <f t="shared" si="13"/>
        <v>0min 3sec</v>
      </c>
      <c r="L29" s="118" t="str">
        <f t="shared" si="13"/>
        <v>0min 26sec</v>
      </c>
      <c r="M29" s="180" t="str">
        <f t="shared" si="13"/>
        <v>0min 15sec</v>
      </c>
      <c r="O29" s="71"/>
    </row>
    <row r="30" spans="1:17" ht="28.2" thickBot="1">
      <c r="A30" s="181" t="s">
        <v>29</v>
      </c>
      <c r="B30" s="41">
        <v>3</v>
      </c>
      <c r="C30" s="73" t="str">
        <f>A25&amp;" waiting in line"</f>
        <v>(minutes) waiting in line</v>
      </c>
      <c r="D30" s="74" t="str">
        <f>" = " &amp; ROUND((1-D31)/D31*D27*EXP((D25-D24*D26)*$B$30),4)*100 &amp; "%"</f>
        <v xml:space="preserve"> = 0.09%</v>
      </c>
      <c r="E30" s="74" t="str">
        <f t="shared" ref="E30:M30" si="14">" = " &amp; ROUND((1-E31)/E31*E27*EXP((E25-E24*E26)*$B$30),4)*100 &amp; "%"</f>
        <v xml:space="preserve"> = 0.29%</v>
      </c>
      <c r="F30" s="74" t="str">
        <f t="shared" si="14"/>
        <v xml:space="preserve"> = 0.24%</v>
      </c>
      <c r="G30" s="74" t="str">
        <f t="shared" si="14"/>
        <v xml:space="preserve"> = 0.03%</v>
      </c>
      <c r="H30" s="74" t="str">
        <f t="shared" si="14"/>
        <v xml:space="preserve"> = 7.24%</v>
      </c>
      <c r="I30" s="74" t="str">
        <f t="shared" si="14"/>
        <v xml:space="preserve"> = 1.02%</v>
      </c>
      <c r="J30" s="74" t="str">
        <f t="shared" si="14"/>
        <v xml:space="preserve"> = 0.75%</v>
      </c>
      <c r="K30" s="74" t="str">
        <f t="shared" si="14"/>
        <v xml:space="preserve"> = 0.1%</v>
      </c>
      <c r="L30" s="74" t="str">
        <f t="shared" si="14"/>
        <v xml:space="preserve"> = 4.57%</v>
      </c>
      <c r="M30" s="182" t="str">
        <f t="shared" si="14"/>
        <v xml:space="preserve"> = 2.87%</v>
      </c>
      <c r="O30" s="71"/>
    </row>
    <row r="31" spans="1:17">
      <c r="A31" s="183" t="s">
        <v>28</v>
      </c>
      <c r="B31" s="54"/>
      <c r="C31" s="75" t="s">
        <v>0</v>
      </c>
      <c r="D31" s="76">
        <f>D25/(D24*D26)</f>
        <v>0.40972222222222221</v>
      </c>
      <c r="E31" s="77">
        <f t="shared" ref="E31:M31" si="15">E25/(E24*E26)</f>
        <v>0.48611111111111116</v>
      </c>
      <c r="F31" s="77">
        <f t="shared" si="15"/>
        <v>0.47222222222222221</v>
      </c>
      <c r="G31" s="77">
        <f t="shared" si="15"/>
        <v>0.41087962962962965</v>
      </c>
      <c r="H31" s="77">
        <f t="shared" si="15"/>
        <v>0.48611111111111116</v>
      </c>
      <c r="I31" s="77">
        <f t="shared" si="15"/>
        <v>0.50347222222222221</v>
      </c>
      <c r="J31" s="77">
        <f t="shared" si="15"/>
        <v>0.47743055555555558</v>
      </c>
      <c r="K31" s="77">
        <f t="shared" si="15"/>
        <v>0.41666666666666669</v>
      </c>
      <c r="L31" s="77">
        <f t="shared" si="15"/>
        <v>0.41666666666666669</v>
      </c>
      <c r="M31" s="184">
        <f t="shared" si="15"/>
        <v>0.10416666666666667</v>
      </c>
    </row>
    <row r="32" spans="1:17">
      <c r="A32" s="173"/>
      <c r="B32" s="54"/>
      <c r="C32" s="58" t="s">
        <v>8</v>
      </c>
      <c r="D32" s="69">
        <f>D31*D24</f>
        <v>2.0486111111111112</v>
      </c>
      <c r="E32" s="70">
        <f t="shared" ref="E32:M32" si="16">E31*E24</f>
        <v>2.4305555555555558</v>
      </c>
      <c r="F32" s="70">
        <f t="shared" si="16"/>
        <v>2.3611111111111112</v>
      </c>
      <c r="G32" s="70">
        <f t="shared" si="16"/>
        <v>2.4652777777777777</v>
      </c>
      <c r="H32" s="70">
        <f t="shared" si="16"/>
        <v>0.97222222222222232</v>
      </c>
      <c r="I32" s="70">
        <f t="shared" si="16"/>
        <v>2.0138888888888888</v>
      </c>
      <c r="J32" s="70">
        <f t="shared" si="16"/>
        <v>1.9097222222222223</v>
      </c>
      <c r="K32" s="70">
        <f t="shared" si="16"/>
        <v>2.0833333333333335</v>
      </c>
      <c r="L32" s="70">
        <f t="shared" si="16"/>
        <v>0.83333333333333337</v>
      </c>
      <c r="M32" s="179">
        <f t="shared" si="16"/>
        <v>0.10416666666666667</v>
      </c>
    </row>
    <row r="33" spans="1:19">
      <c r="A33" s="173"/>
      <c r="B33" s="54"/>
      <c r="C33" s="58" t="s">
        <v>9</v>
      </c>
      <c r="D33" s="69">
        <f>(D24*D31)+D27</f>
        <v>2.093807792667425</v>
      </c>
      <c r="E33" s="70">
        <f t="shared" ref="E33:M33" si="17">(E24*E31)+E27</f>
        <v>2.5426583734328698</v>
      </c>
      <c r="F33" s="70">
        <f t="shared" si="17"/>
        <v>2.4571362116314108</v>
      </c>
      <c r="G33" s="70">
        <f t="shared" si="17"/>
        <v>2.4964842322473348</v>
      </c>
      <c r="H33" s="70">
        <f t="shared" si="17"/>
        <v>1.273048749684264</v>
      </c>
      <c r="I33" s="70">
        <f t="shared" si="17"/>
        <v>2.1937135366792893</v>
      </c>
      <c r="J33" s="70">
        <f t="shared" si="17"/>
        <v>2.0490445236807986</v>
      </c>
      <c r="K33" s="70">
        <f t="shared" si="17"/>
        <v>2.1327367022686095</v>
      </c>
      <c r="L33" s="70">
        <f t="shared" si="17"/>
        <v>1.008403361344538</v>
      </c>
      <c r="M33" s="179">
        <f t="shared" si="17"/>
        <v>0.11627906976744187</v>
      </c>
    </row>
    <row r="34" spans="1:19" hidden="1">
      <c r="A34" s="173" t="s">
        <v>12</v>
      </c>
      <c r="B34" s="54"/>
      <c r="C34" s="55" t="s">
        <v>10</v>
      </c>
      <c r="D34" s="148">
        <f>D33/D25</f>
        <v>2.1292960603397542</v>
      </c>
      <c r="E34" s="149">
        <f t="shared" ref="E34:M34" si="18">E33/E25</f>
        <v>2.1794214629424595</v>
      </c>
      <c r="F34" s="149">
        <f t="shared" si="18"/>
        <v>2.1680613632041861</v>
      </c>
      <c r="G34" s="149">
        <f t="shared" si="18"/>
        <v>2.1097049849977476</v>
      </c>
      <c r="H34" s="149">
        <f t="shared" si="18"/>
        <v>2.7279616064662799</v>
      </c>
      <c r="I34" s="149">
        <f t="shared" si="18"/>
        <v>2.2693588310475405</v>
      </c>
      <c r="J34" s="149">
        <f t="shared" si="18"/>
        <v>2.2353212985608715</v>
      </c>
      <c r="K34" s="149">
        <f t="shared" si="18"/>
        <v>2.1327367022686095</v>
      </c>
      <c r="L34" s="149">
        <f t="shared" si="18"/>
        <v>2.5210084033613449</v>
      </c>
      <c r="M34" s="185">
        <f t="shared" si="18"/>
        <v>2.3255813953488373</v>
      </c>
    </row>
    <row r="35" spans="1:19" ht="14.4" thickBot="1">
      <c r="A35" s="186"/>
      <c r="B35" s="187"/>
      <c r="C35" s="188" t="s">
        <v>49</v>
      </c>
      <c r="D35" s="192" t="str">
        <f>TRUNC(D34)&amp;"min "&amp;ROUND((D34-TRUNC(D34))*60,0)&amp;"sec"</f>
        <v>2min 8sec</v>
      </c>
      <c r="E35" s="193" t="str">
        <f t="shared" ref="E35:M35" si="19">TRUNC(E34)&amp;"min "&amp;ROUND((E34-TRUNC(E34))*60,0)&amp;"sec"</f>
        <v>2min 11sec</v>
      </c>
      <c r="F35" s="193" t="str">
        <f t="shared" si="19"/>
        <v>2min 10sec</v>
      </c>
      <c r="G35" s="193" t="str">
        <f t="shared" si="19"/>
        <v>2min 7sec</v>
      </c>
      <c r="H35" s="193" t="str">
        <f t="shared" si="19"/>
        <v>2min 44sec</v>
      </c>
      <c r="I35" s="193" t="str">
        <f t="shared" si="19"/>
        <v>2min 16sec</v>
      </c>
      <c r="J35" s="193" t="str">
        <f t="shared" si="19"/>
        <v>2min 14sec</v>
      </c>
      <c r="K35" s="193" t="str">
        <f t="shared" si="19"/>
        <v>2min 8sec</v>
      </c>
      <c r="L35" s="193" t="str">
        <f t="shared" si="19"/>
        <v>2min 31sec</v>
      </c>
      <c r="M35" s="194" t="str">
        <f t="shared" si="19"/>
        <v>2min 20sec</v>
      </c>
    </row>
    <row r="36" spans="1:19">
      <c r="A36" s="78"/>
      <c r="B36" s="78"/>
      <c r="C36" s="79"/>
      <c r="D36" s="80"/>
      <c r="E36" s="80"/>
      <c r="F36" s="80"/>
      <c r="G36" s="80"/>
      <c r="H36" s="80"/>
      <c r="I36" s="80"/>
      <c r="J36" s="80"/>
      <c r="K36" s="80"/>
      <c r="L36" s="80"/>
      <c r="M36" s="80"/>
    </row>
    <row r="37" spans="1:19">
      <c r="A37" s="78"/>
      <c r="B37" s="78"/>
      <c r="C37" s="81" t="s">
        <v>41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</row>
    <row r="38" spans="1:19">
      <c r="A38" s="78"/>
      <c r="B38" s="78"/>
      <c r="C38" s="34" t="s">
        <v>3</v>
      </c>
      <c r="D38" s="122" t="str">
        <f>IF(AND(D44&lt;1,E44&lt;1,F44&lt;1,G44&lt;1,H44&lt;1,I44,1,J44,1,K44&lt;1,L44&lt;1,M44&lt;1),"Status is OK! Number of people in line is unchanged","Attention! Changes result in the number of people in line to increase")</f>
        <v>Status is OK! Number of people in line is unchanged</v>
      </c>
      <c r="F38" s="80"/>
      <c r="G38" s="80"/>
      <c r="H38" s="80"/>
      <c r="I38" s="122" t="str">
        <f>IF(OR((D$50-D$16)&gt;1,(E$50-E$16)&gt;1,(F$50-F$16)&gt;1,(G$50-G$16)&gt;1,(H$50-H$16)&gt;1,(I$50-I$16)&gt;1,(J$50-J$16)&gt;1,(K$50-K$16)&gt;1,(L$50-L$16)&gt;1,(M$50-M$16)&gt;1),"Attention! The line's waiting time increased","")</f>
        <v>Attention! The line's waiting time increased</v>
      </c>
      <c r="J38" s="80"/>
      <c r="K38" s="80"/>
      <c r="L38" s="80"/>
      <c r="M38" s="80"/>
    </row>
    <row r="39" spans="1:19">
      <c r="A39" s="15" t="s">
        <v>1</v>
      </c>
      <c r="B39" s="6" t="s">
        <v>38</v>
      </c>
      <c r="C39" s="82" t="s">
        <v>39</v>
      </c>
      <c r="D39" s="83" t="s">
        <v>36</v>
      </c>
      <c r="E39" s="83" t="s">
        <v>36</v>
      </c>
      <c r="F39" s="83" t="s">
        <v>36</v>
      </c>
      <c r="G39" s="83" t="s">
        <v>36</v>
      </c>
      <c r="H39" s="83" t="s">
        <v>36</v>
      </c>
      <c r="I39" s="83" t="s">
        <v>36</v>
      </c>
      <c r="J39" s="83" t="s">
        <v>36</v>
      </c>
      <c r="K39" s="83" t="s">
        <v>36</v>
      </c>
      <c r="L39" s="83" t="s">
        <v>36</v>
      </c>
      <c r="M39" s="83" t="s">
        <v>36</v>
      </c>
      <c r="N39" s="78"/>
      <c r="O39" s="79"/>
      <c r="P39" s="84"/>
      <c r="Q39" s="78"/>
      <c r="R39" s="85"/>
      <c r="S39" s="85"/>
    </row>
    <row r="40" spans="1:19" ht="14.4" thickBot="1">
      <c r="A40" s="13" t="s">
        <v>2</v>
      </c>
      <c r="B40" s="86">
        <f>1-SUM(B41:B43)</f>
        <v>0.19999999999999996</v>
      </c>
      <c r="C40" s="87">
        <f>1-$B$40*$D$19</f>
        <v>0.90304522650140184</v>
      </c>
      <c r="D40" s="88">
        <f>D$15*$B$40*(1-D$19)/($C$40)</f>
        <v>2.3703750472905676E-2</v>
      </c>
      <c r="E40" s="88">
        <f t="shared" ref="E40:M40" si="20">E$15*$B$40*(1-E$19)/($C$40)</f>
        <v>8.4483785757071411E-3</v>
      </c>
      <c r="F40" s="88">
        <f t="shared" si="20"/>
        <v>2.6705296122526662E-2</v>
      </c>
      <c r="G40" s="88">
        <f t="shared" si="20"/>
        <v>1.1230422252492907E-2</v>
      </c>
      <c r="H40" s="88">
        <f t="shared" si="20"/>
        <v>7.0750015220144404E-3</v>
      </c>
      <c r="I40" s="88">
        <f t="shared" si="20"/>
        <v>1.3867948185076461E-2</v>
      </c>
      <c r="J40" s="88">
        <f t="shared" si="20"/>
        <v>1.2142860303921782E-2</v>
      </c>
      <c r="K40" s="88">
        <f t="shared" si="20"/>
        <v>8.1980698790699996E-3</v>
      </c>
      <c r="L40" s="88">
        <f t="shared" si="20"/>
        <v>2.7714904819289406E-2</v>
      </c>
      <c r="M40" s="88">
        <f t="shared" si="20"/>
        <v>4.3147339542955838E-4</v>
      </c>
      <c r="N40" s="78"/>
      <c r="O40" s="89"/>
      <c r="P40" s="90"/>
      <c r="Q40" s="91"/>
      <c r="R40" s="78"/>
      <c r="S40" s="78"/>
    </row>
    <row r="41" spans="1:19" ht="14.4" thickBot="1">
      <c r="A41" s="1">
        <v>2</v>
      </c>
      <c r="B41" s="92">
        <v>0.8</v>
      </c>
      <c r="C41" s="87">
        <f>$C$40-$B$41*$D$19</f>
        <v>0.51522613250700899</v>
      </c>
      <c r="D41" s="88">
        <f>D$15*$B$41*(1-D$19)/($C$41*$C$40)</f>
        <v>0.18402599540180134</v>
      </c>
      <c r="E41" s="88">
        <f t="shared" ref="E41:M41" si="21">E$15*$B$41*(1-E$19)/($C$41*$C$40)</f>
        <v>6.5589674456912092E-2</v>
      </c>
      <c r="F41" s="88">
        <f t="shared" si="21"/>
        <v>0.20732873926703149</v>
      </c>
      <c r="G41" s="88">
        <f t="shared" si="21"/>
        <v>8.7188296896723388E-2</v>
      </c>
      <c r="H41" s="88">
        <f t="shared" si="21"/>
        <v>5.4927349958656821E-2</v>
      </c>
      <c r="I41" s="88">
        <f t="shared" si="21"/>
        <v>0.10766494407104096</v>
      </c>
      <c r="J41" s="88">
        <f t="shared" si="21"/>
        <v>9.4272083947578855E-2</v>
      </c>
      <c r="K41" s="88">
        <f t="shared" si="21"/>
        <v>6.3646382524733258E-2</v>
      </c>
      <c r="L41" s="88">
        <f t="shared" si="21"/>
        <v>0.21516691852901998</v>
      </c>
      <c r="M41" s="88">
        <f t="shared" si="21"/>
        <v>3.3497788113353421E-3</v>
      </c>
      <c r="N41" s="78"/>
      <c r="O41" s="78"/>
      <c r="P41" s="93"/>
      <c r="Q41" s="91"/>
      <c r="R41" s="78"/>
      <c r="S41" s="78"/>
    </row>
    <row r="42" spans="1:19" ht="14.4" thickBot="1">
      <c r="A42" s="1">
        <v>3</v>
      </c>
      <c r="B42" s="92">
        <v>0</v>
      </c>
      <c r="C42" s="87">
        <f>$C$41-$B$42*$D$19</f>
        <v>0.51522613250700899</v>
      </c>
      <c r="D42" s="88">
        <f>D$15*$B42*(1-D$19)/($C$42*$C$41)</f>
        <v>0</v>
      </c>
      <c r="E42" s="88">
        <f t="shared" ref="E42:M43" si="22">E$15*$B42*(1-E$19)/($C42*$C41)</f>
        <v>0</v>
      </c>
      <c r="F42" s="88">
        <f t="shared" si="22"/>
        <v>0</v>
      </c>
      <c r="G42" s="88">
        <f t="shared" si="22"/>
        <v>0</v>
      </c>
      <c r="H42" s="88">
        <f t="shared" si="22"/>
        <v>0</v>
      </c>
      <c r="I42" s="88">
        <f t="shared" si="22"/>
        <v>0</v>
      </c>
      <c r="J42" s="88">
        <f t="shared" si="22"/>
        <v>0</v>
      </c>
      <c r="K42" s="88">
        <f t="shared" si="22"/>
        <v>0</v>
      </c>
      <c r="L42" s="88">
        <f t="shared" si="22"/>
        <v>0</v>
      </c>
      <c r="M42" s="88">
        <f t="shared" si="22"/>
        <v>0</v>
      </c>
      <c r="N42" s="78"/>
      <c r="O42" s="78"/>
      <c r="P42" s="93"/>
      <c r="Q42" s="91"/>
      <c r="R42" s="78"/>
      <c r="S42" s="78"/>
    </row>
    <row r="43" spans="1:19" ht="14.4" thickBot="1">
      <c r="A43" s="1">
        <v>4</v>
      </c>
      <c r="B43" s="92">
        <v>0</v>
      </c>
      <c r="C43" s="87">
        <f>$C$42-$B$43*$D$19</f>
        <v>0.51522613250700899</v>
      </c>
      <c r="D43" s="94">
        <f>D$15*$B43*(1-D$19)/($C$43*$C$42)</f>
        <v>0</v>
      </c>
      <c r="E43" s="94">
        <f t="shared" si="22"/>
        <v>0</v>
      </c>
      <c r="F43" s="94">
        <f t="shared" si="22"/>
        <v>0</v>
      </c>
      <c r="G43" s="94">
        <f t="shared" si="22"/>
        <v>0</v>
      </c>
      <c r="H43" s="94">
        <f t="shared" si="22"/>
        <v>0</v>
      </c>
      <c r="I43" s="94">
        <f t="shared" si="22"/>
        <v>0</v>
      </c>
      <c r="J43" s="94">
        <f t="shared" si="22"/>
        <v>0</v>
      </c>
      <c r="K43" s="94">
        <f t="shared" si="22"/>
        <v>0</v>
      </c>
      <c r="L43" s="94">
        <f t="shared" si="22"/>
        <v>0</v>
      </c>
      <c r="M43" s="94">
        <f t="shared" si="22"/>
        <v>0</v>
      </c>
      <c r="N43" s="78"/>
      <c r="O43" s="78"/>
      <c r="P43" s="93"/>
      <c r="Q43" s="91"/>
      <c r="R43" s="78"/>
      <c r="S43" s="78"/>
    </row>
    <row r="44" spans="1:19">
      <c r="B44" s="95"/>
      <c r="C44" s="96" t="s">
        <v>42</v>
      </c>
      <c r="D44" s="88">
        <f>SUM(D40:D43)</f>
        <v>0.20772974587470702</v>
      </c>
      <c r="E44" s="88">
        <f t="shared" ref="E44:M44" si="23">SUM(E40:E43)</f>
        <v>7.4038053032619233E-2</v>
      </c>
      <c r="F44" s="88">
        <f t="shared" si="23"/>
        <v>0.23403403538955816</v>
      </c>
      <c r="G44" s="88">
        <f t="shared" si="23"/>
        <v>9.8418719149216294E-2</v>
      </c>
      <c r="H44" s="88">
        <f t="shared" si="23"/>
        <v>6.2002351480671264E-2</v>
      </c>
      <c r="I44" s="88">
        <f t="shared" si="23"/>
        <v>0.12153289225611742</v>
      </c>
      <c r="J44" s="88">
        <f t="shared" si="23"/>
        <v>0.10641494425150064</v>
      </c>
      <c r="K44" s="88">
        <f t="shared" si="23"/>
        <v>7.1844452403803258E-2</v>
      </c>
      <c r="L44" s="88">
        <f t="shared" si="23"/>
        <v>0.24288182334830938</v>
      </c>
      <c r="M44" s="88">
        <f t="shared" si="23"/>
        <v>3.7812522067649005E-3</v>
      </c>
      <c r="N44" s="78"/>
      <c r="O44" s="78"/>
      <c r="P44" s="93"/>
      <c r="Q44" s="91"/>
      <c r="R44" s="78"/>
      <c r="S44" s="78"/>
    </row>
    <row r="45" spans="1:19">
      <c r="C45" s="126" t="s">
        <v>40</v>
      </c>
      <c r="D45" s="127" t="s">
        <v>37</v>
      </c>
      <c r="E45" s="127" t="s">
        <v>37</v>
      </c>
      <c r="F45" s="127" t="s">
        <v>37</v>
      </c>
      <c r="G45" s="127" t="s">
        <v>37</v>
      </c>
      <c r="H45" s="127" t="s">
        <v>37</v>
      </c>
      <c r="I45" s="127" t="s">
        <v>37</v>
      </c>
      <c r="J45" s="127" t="s">
        <v>37</v>
      </c>
      <c r="K45" s="127" t="s">
        <v>37</v>
      </c>
      <c r="L45" s="127" t="s">
        <v>37</v>
      </c>
      <c r="M45" s="127" t="s">
        <v>37</v>
      </c>
      <c r="N45" s="78"/>
      <c r="O45" s="78"/>
      <c r="P45" s="78"/>
      <c r="Q45" s="78"/>
      <c r="R45" s="78"/>
      <c r="S45" s="78"/>
    </row>
    <row r="46" spans="1:19" ht="14.4" thickBot="1">
      <c r="A46" s="13" t="s">
        <v>2</v>
      </c>
      <c r="B46" s="97">
        <f>1-SUM(B47:B49)</f>
        <v>0.19999999999999996</v>
      </c>
      <c r="C46" s="98"/>
      <c r="D46" s="88">
        <f>D$40/(IF($B$40&gt;0,$B$40,1)*D$13)</f>
        <v>0.16977955013885643</v>
      </c>
      <c r="E46" s="88">
        <f t="shared" ref="E46:M46" si="24">E$40/(IF($B$40&gt;0,$B$40,1)*E$13)</f>
        <v>5.4317188076395823E-2</v>
      </c>
      <c r="F46" s="88">
        <f t="shared" si="24"/>
        <v>0.18442884062518419</v>
      </c>
      <c r="G46" s="88">
        <f t="shared" si="24"/>
        <v>0.18139227705120467</v>
      </c>
      <c r="H46" s="88">
        <f t="shared" si="24"/>
        <v>0.1350095323384915</v>
      </c>
      <c r="I46" s="88">
        <f t="shared" si="24"/>
        <v>0.11674192267593714</v>
      </c>
      <c r="J46" s="88">
        <f t="shared" si="24"/>
        <v>0.1063329899854995</v>
      </c>
      <c r="K46" s="88">
        <f t="shared" si="24"/>
        <v>8.0573350927827289E-2</v>
      </c>
      <c r="L46" s="88">
        <f t="shared" si="24"/>
        <v>0.8161043821934455</v>
      </c>
      <c r="M46" s="88">
        <f t="shared" si="24"/>
        <v>0.1018277213213758</v>
      </c>
    </row>
    <row r="47" spans="1:19" ht="14.4" thickBot="1">
      <c r="A47" s="1">
        <v>2</v>
      </c>
      <c r="B47" s="99">
        <f>$B$41</f>
        <v>0.8</v>
      </c>
      <c r="C47" s="98"/>
      <c r="D47" s="88">
        <f>D$41/(IF($B$41&gt;0,$B$41,1)*D$13)</f>
        <v>0.32952433781403123</v>
      </c>
      <c r="E47" s="88">
        <f t="shared" ref="E47:M47" si="25">E$41/(IF($B$41&gt;0,$B$41,1)*E$13)</f>
        <v>0.10542397725848446</v>
      </c>
      <c r="F47" s="88">
        <f t="shared" si="25"/>
        <v>0.35795707746379746</v>
      </c>
      <c r="G47" s="88">
        <f t="shared" si="25"/>
        <v>0.35206342537126084</v>
      </c>
      <c r="H47" s="88">
        <f t="shared" si="25"/>
        <v>0.26203937226855412</v>
      </c>
      <c r="I47" s="88">
        <f t="shared" si="25"/>
        <v>0.22658385378841206</v>
      </c>
      <c r="J47" s="88">
        <f t="shared" si="25"/>
        <v>0.20638120482767433</v>
      </c>
      <c r="K47" s="88">
        <f t="shared" si="25"/>
        <v>0.15638444140201133</v>
      </c>
      <c r="L47" s="88">
        <f t="shared" si="25"/>
        <v>1.5839731929403706</v>
      </c>
      <c r="M47" s="88">
        <f t="shared" si="25"/>
        <v>0.19763694986878519</v>
      </c>
    </row>
    <row r="48" spans="1:19" ht="14.4" thickBot="1">
      <c r="A48" s="1">
        <v>3</v>
      </c>
      <c r="B48" s="99">
        <f>$B$42</f>
        <v>0</v>
      </c>
      <c r="C48" s="98"/>
      <c r="D48" s="88">
        <f>D$42/(IF($B$42&gt;0,$B$42,1)*D$13)</f>
        <v>0</v>
      </c>
      <c r="E48" s="88">
        <f t="shared" ref="E48:M48" si="26">E$42/(IF($B$42&gt;0,$B$42,1)*E$13)</f>
        <v>0</v>
      </c>
      <c r="F48" s="88">
        <f t="shared" si="26"/>
        <v>0</v>
      </c>
      <c r="G48" s="88">
        <f t="shared" si="26"/>
        <v>0</v>
      </c>
      <c r="H48" s="88">
        <f t="shared" si="26"/>
        <v>0</v>
      </c>
      <c r="I48" s="88">
        <f t="shared" si="26"/>
        <v>0</v>
      </c>
      <c r="J48" s="88">
        <f t="shared" si="26"/>
        <v>0</v>
      </c>
      <c r="K48" s="88">
        <f t="shared" si="26"/>
        <v>0</v>
      </c>
      <c r="L48" s="88">
        <f t="shared" si="26"/>
        <v>0</v>
      </c>
      <c r="M48" s="88">
        <f t="shared" si="26"/>
        <v>0</v>
      </c>
    </row>
    <row r="49" spans="1:15" ht="14.4" thickBot="1">
      <c r="A49" s="1">
        <v>4</v>
      </c>
      <c r="B49" s="99">
        <f>$B$43</f>
        <v>0</v>
      </c>
      <c r="C49" s="98"/>
      <c r="D49" s="94">
        <f>D$43/(IF($B$43&gt;0,$B$43,1)*D$13)</f>
        <v>0</v>
      </c>
      <c r="E49" s="94">
        <f t="shared" ref="E49:M49" si="27">E$43/(IF($B$43&gt;0,$B$43,1)*E$13)</f>
        <v>0</v>
      </c>
      <c r="F49" s="94">
        <f t="shared" si="27"/>
        <v>0</v>
      </c>
      <c r="G49" s="94">
        <f t="shared" si="27"/>
        <v>0</v>
      </c>
      <c r="H49" s="94">
        <f t="shared" si="27"/>
        <v>0</v>
      </c>
      <c r="I49" s="94">
        <f t="shared" si="27"/>
        <v>0</v>
      </c>
      <c r="J49" s="94">
        <f t="shared" si="27"/>
        <v>0</v>
      </c>
      <c r="K49" s="94">
        <f t="shared" si="27"/>
        <v>0</v>
      </c>
      <c r="L49" s="94">
        <f t="shared" si="27"/>
        <v>0</v>
      </c>
      <c r="M49" s="94">
        <f t="shared" si="27"/>
        <v>0</v>
      </c>
    </row>
    <row r="50" spans="1:15">
      <c r="B50" s="100"/>
      <c r="C50" s="96" t="s">
        <v>42</v>
      </c>
      <c r="D50" s="88">
        <f>SUM(D46:D49)</f>
        <v>0.49930388795288766</v>
      </c>
      <c r="E50" s="88">
        <f t="shared" ref="E50:M50" si="28">SUM(E46:E49)</f>
        <v>0.15974116533488028</v>
      </c>
      <c r="F50" s="88">
        <f t="shared" si="28"/>
        <v>0.54238591808898162</v>
      </c>
      <c r="G50" s="88">
        <f t="shared" si="28"/>
        <v>0.53345570242246554</v>
      </c>
      <c r="H50" s="88">
        <f t="shared" si="28"/>
        <v>0.39704890460704562</v>
      </c>
      <c r="I50" s="88">
        <f t="shared" si="28"/>
        <v>0.3433257764643492</v>
      </c>
      <c r="J50" s="88">
        <f t="shared" si="28"/>
        <v>0.31271419481317386</v>
      </c>
      <c r="K50" s="88">
        <f t="shared" si="28"/>
        <v>0.2369577923298386</v>
      </c>
      <c r="L50" s="88">
        <f t="shared" si="28"/>
        <v>2.4000775751338161</v>
      </c>
      <c r="M50" s="88">
        <f t="shared" si="28"/>
        <v>0.29946467119016096</v>
      </c>
      <c r="O50" s="51"/>
    </row>
    <row r="51" spans="1:15">
      <c r="B51" s="100"/>
      <c r="C51" s="101" t="s">
        <v>24</v>
      </c>
      <c r="D51" s="119" t="str">
        <f>TRUNC(D50)&amp;"min "&amp;ROUND((D50-TRUNC(D50))*60,0)&amp;"sec"</f>
        <v>0min 30sec</v>
      </c>
      <c r="E51" s="119" t="str">
        <f t="shared" ref="E51:M51" si="29">TRUNC(E50)&amp;"min "&amp;ROUND((E50-TRUNC(E50))*60,0)&amp;"sec"</f>
        <v>0min 10sec</v>
      </c>
      <c r="F51" s="119" t="str">
        <f t="shared" si="29"/>
        <v>0min 33sec</v>
      </c>
      <c r="G51" s="119" t="str">
        <f t="shared" si="29"/>
        <v>0min 32sec</v>
      </c>
      <c r="H51" s="119" t="str">
        <f t="shared" si="29"/>
        <v>0min 24sec</v>
      </c>
      <c r="I51" s="119" t="str">
        <f t="shared" si="29"/>
        <v>0min 21sec</v>
      </c>
      <c r="J51" s="119" t="str">
        <f t="shared" si="29"/>
        <v>0min 19sec</v>
      </c>
      <c r="K51" s="119" t="str">
        <f t="shared" si="29"/>
        <v>0min 14sec</v>
      </c>
      <c r="L51" s="119" t="str">
        <f t="shared" si="29"/>
        <v>2min 24sec</v>
      </c>
      <c r="M51" s="119" t="str">
        <f t="shared" si="29"/>
        <v>0min 18sec</v>
      </c>
      <c r="O51" s="51"/>
    </row>
    <row r="52" spans="1:15" ht="27.6">
      <c r="B52" s="100"/>
      <c r="C52" s="102" t="s">
        <v>44</v>
      </c>
      <c r="D52" s="116" t="str">
        <f>TRUNC(D50-D16)&amp;"min "&amp;ROUND(((D50-D16)-TRUNC(D50-D16))*60,0)&amp;"sec"</f>
        <v>0min 12sec</v>
      </c>
      <c r="E52" s="116" t="str">
        <f t="shared" ref="E52:M52" si="30">TRUNC(E50-E16)&amp;"min "&amp;ROUND(((E50-E16)-TRUNC(E50-E16))*60,0)&amp;"sec"</f>
        <v>0min 5sec</v>
      </c>
      <c r="F52" s="116" t="str">
        <f t="shared" si="30"/>
        <v>0min 12sec</v>
      </c>
      <c r="G52" s="116" t="str">
        <f t="shared" si="30"/>
        <v>0min 18sec</v>
      </c>
      <c r="H52" s="116" t="str">
        <f t="shared" si="30"/>
        <v>0min 14sec</v>
      </c>
      <c r="I52" s="116" t="str">
        <f t="shared" si="30"/>
        <v>0min 10sec</v>
      </c>
      <c r="J52" s="116" t="str">
        <f t="shared" si="30"/>
        <v>0min 9sec</v>
      </c>
      <c r="K52" s="116" t="str">
        <f t="shared" si="30"/>
        <v>0min 7sec</v>
      </c>
      <c r="L52" s="116" t="str">
        <f t="shared" si="30"/>
        <v>1min 16sec</v>
      </c>
      <c r="M52" s="116" t="str">
        <f t="shared" si="30"/>
        <v>0min 12sec</v>
      </c>
    </row>
    <row r="53" spans="1:15">
      <c r="B53" s="103"/>
      <c r="C53" s="104" t="s">
        <v>11</v>
      </c>
      <c r="D53" s="122" t="str">
        <f>IF(AND(D59&lt;1,E59&lt;1,F59&lt;1,G59&lt;1,H59&lt;1,I59,1,J59,1,K59&lt;1,L59&lt;1,M59&lt;1),"Status is OK! Number of people in line is unchanged","Attention! Changes result in the number of people in line to increase")</f>
        <v>Status is OK! Number of people in line is unchanged</v>
      </c>
      <c r="F53" s="80"/>
      <c r="G53" s="80"/>
      <c r="H53" s="80"/>
      <c r="I53" s="122" t="str">
        <f>IF(OR((D$65-D$28)&gt;1,(E$65-E$28)&gt;1,(F$65-F$28)&gt;1,(G$65-G$28)&gt;1,(H$65-H$28)&gt;1,(I$65-I$28)&gt;1,(J$65-J$28)&gt;1,(K$65-K$28)&gt;1,(L$65-L$28)&gt;1,(M$65-M$28)&gt;1),"Attention! The line's waiting time increased","")</f>
        <v/>
      </c>
    </row>
    <row r="54" spans="1:15">
      <c r="B54" s="103"/>
      <c r="C54" s="105" t="s">
        <v>39</v>
      </c>
      <c r="D54" s="65" t="s">
        <v>36</v>
      </c>
      <c r="E54" s="65" t="s">
        <v>36</v>
      </c>
      <c r="F54" s="65" t="s">
        <v>36</v>
      </c>
      <c r="G54" s="65" t="s">
        <v>36</v>
      </c>
      <c r="H54" s="65" t="s">
        <v>36</v>
      </c>
      <c r="I54" s="65" t="s">
        <v>36</v>
      </c>
      <c r="J54" s="65" t="s">
        <v>36</v>
      </c>
      <c r="K54" s="65" t="s">
        <v>36</v>
      </c>
      <c r="L54" s="65" t="s">
        <v>36</v>
      </c>
      <c r="M54" s="65" t="s">
        <v>36</v>
      </c>
    </row>
    <row r="55" spans="1:15" ht="14.4" thickBot="1">
      <c r="A55" s="13" t="s">
        <v>2</v>
      </c>
      <c r="B55" s="97">
        <f>1-SUM(B56:B58)</f>
        <v>0.19999999999999996</v>
      </c>
      <c r="C55" s="106">
        <f>1-$B$40*$D$31</f>
        <v>0.91805555555555562</v>
      </c>
      <c r="D55" s="107">
        <f>D$27*$B$40*(1-D$31)/($C$55)</f>
        <v>5.8119787175290325E-3</v>
      </c>
      <c r="E55" s="107">
        <f t="shared" ref="E55:M55" si="31">E$27*$B$40*(1-E$31)/($C$55)</f>
        <v>1.2550088536945911E-2</v>
      </c>
      <c r="F55" s="107">
        <f t="shared" si="31"/>
        <v>1.1040707472833254E-2</v>
      </c>
      <c r="G55" s="107">
        <f t="shared" si="31"/>
        <v>4.0050643784681119E-3</v>
      </c>
      <c r="H55" s="107">
        <f t="shared" si="31"/>
        <v>3.367800761299708E-2</v>
      </c>
      <c r="I55" s="107">
        <f t="shared" si="31"/>
        <v>1.9451531493212743E-2</v>
      </c>
      <c r="J55" s="107">
        <f t="shared" si="31"/>
        <v>1.5860821762114792E-2</v>
      </c>
      <c r="K55" s="107">
        <f t="shared" si="31"/>
        <v>6.2781890931364282E-3</v>
      </c>
      <c r="L55" s="107">
        <f t="shared" si="31"/>
        <v>2.2247930942422355E-2</v>
      </c>
      <c r="M55" s="107">
        <f t="shared" si="31"/>
        <v>2.3638426626323744E-3</v>
      </c>
    </row>
    <row r="56" spans="1:15" ht="14.4" thickBot="1">
      <c r="A56" s="1">
        <v>2</v>
      </c>
      <c r="B56" s="99">
        <f>$B$41</f>
        <v>0.8</v>
      </c>
      <c r="C56" s="106">
        <f>$C$55-$B$41*$D$31</f>
        <v>0.5902777777777779</v>
      </c>
      <c r="D56" s="107">
        <f>D$27*$B$41*(1-D$31)/($C$56*$C$55)</f>
        <v>3.938470283878498E-2</v>
      </c>
      <c r="E56" s="107">
        <f t="shared" ref="E56:M56" si="32">E$27*$B$41*(1-E$31)/($C$56*$C$55)</f>
        <v>8.5045305850362879E-2</v>
      </c>
      <c r="F56" s="107">
        <f t="shared" si="32"/>
        <v>7.4817029462964174E-2</v>
      </c>
      <c r="G56" s="107">
        <f t="shared" si="32"/>
        <v>2.7140200964678028E-2</v>
      </c>
      <c r="H56" s="107">
        <f t="shared" si="32"/>
        <v>0.22821802805983904</v>
      </c>
      <c r="I56" s="107">
        <f t="shared" si="32"/>
        <v>0.13181273105988872</v>
      </c>
      <c r="J56" s="107">
        <f t="shared" si="32"/>
        <v>0.10748039217621318</v>
      </c>
      <c r="K56" s="107">
        <f t="shared" si="32"/>
        <v>4.2543963737018624E-2</v>
      </c>
      <c r="L56" s="107">
        <f t="shared" si="32"/>
        <v>0.15076244968041502</v>
      </c>
      <c r="M56" s="107">
        <f t="shared" si="32"/>
        <v>1.6018510278544094E-2</v>
      </c>
    </row>
    <row r="57" spans="1:15" ht="14.4" thickBot="1">
      <c r="A57" s="1">
        <v>3</v>
      </c>
      <c r="B57" s="99">
        <f>$B$42</f>
        <v>0</v>
      </c>
      <c r="C57" s="106">
        <f>$C$56-$B$42*$D$31</f>
        <v>0.5902777777777779</v>
      </c>
      <c r="D57" s="107">
        <f>D$27*$B$42*(1-D$31)/($C$57*$C$56)</f>
        <v>0</v>
      </c>
      <c r="E57" s="107">
        <f t="shared" ref="E57:M57" si="33">E$27*$B$42*(1-E$31)/($C$57*$C$56)</f>
        <v>0</v>
      </c>
      <c r="F57" s="107">
        <f t="shared" si="33"/>
        <v>0</v>
      </c>
      <c r="G57" s="107">
        <f t="shared" si="33"/>
        <v>0</v>
      </c>
      <c r="H57" s="107">
        <f t="shared" si="33"/>
        <v>0</v>
      </c>
      <c r="I57" s="107">
        <f t="shared" si="33"/>
        <v>0</v>
      </c>
      <c r="J57" s="107">
        <f t="shared" si="33"/>
        <v>0</v>
      </c>
      <c r="K57" s="107">
        <f t="shared" si="33"/>
        <v>0</v>
      </c>
      <c r="L57" s="107">
        <f t="shared" si="33"/>
        <v>0</v>
      </c>
      <c r="M57" s="107">
        <f t="shared" si="33"/>
        <v>0</v>
      </c>
    </row>
    <row r="58" spans="1:15" ht="14.4" thickBot="1">
      <c r="A58" s="1">
        <v>4</v>
      </c>
      <c r="B58" s="99">
        <f>$B$43</f>
        <v>0</v>
      </c>
      <c r="C58" s="106">
        <f>$C$57-$B$43*$D$31</f>
        <v>0.5902777777777779</v>
      </c>
      <c r="D58" s="108">
        <f>D$27*$B$43*(1-D$31)/($C$58*$C$57)</f>
        <v>0</v>
      </c>
      <c r="E58" s="108">
        <f t="shared" ref="E58:M58" si="34">E$27*$B$43*(1-E$31)/($C$58*$C$57)</f>
        <v>0</v>
      </c>
      <c r="F58" s="108">
        <f t="shared" si="34"/>
        <v>0</v>
      </c>
      <c r="G58" s="108">
        <f t="shared" si="34"/>
        <v>0</v>
      </c>
      <c r="H58" s="108">
        <f t="shared" si="34"/>
        <v>0</v>
      </c>
      <c r="I58" s="108">
        <f t="shared" si="34"/>
        <v>0</v>
      </c>
      <c r="J58" s="108">
        <f t="shared" si="34"/>
        <v>0</v>
      </c>
      <c r="K58" s="108">
        <f t="shared" si="34"/>
        <v>0</v>
      </c>
      <c r="L58" s="108">
        <f t="shared" si="34"/>
        <v>0</v>
      </c>
      <c r="M58" s="108">
        <f t="shared" si="34"/>
        <v>0</v>
      </c>
    </row>
    <row r="59" spans="1:15">
      <c r="B59" s="100"/>
      <c r="C59" s="55" t="s">
        <v>42</v>
      </c>
      <c r="D59" s="107">
        <f>SUM(D55:D58)</f>
        <v>4.5196681556314011E-2</v>
      </c>
      <c r="E59" s="107">
        <f t="shared" ref="E59:M59" si="35">SUM(E55:E58)</f>
        <v>9.7595394387308784E-2</v>
      </c>
      <c r="F59" s="107">
        <f t="shared" si="35"/>
        <v>8.585773693579743E-2</v>
      </c>
      <c r="G59" s="107">
        <f t="shared" si="35"/>
        <v>3.1145265343146142E-2</v>
      </c>
      <c r="H59" s="107">
        <f t="shared" si="35"/>
        <v>0.26189603567283615</v>
      </c>
      <c r="I59" s="107">
        <f t="shared" si="35"/>
        <v>0.15126426255310146</v>
      </c>
      <c r="J59" s="107">
        <f t="shared" si="35"/>
        <v>0.12334121393832798</v>
      </c>
      <c r="K59" s="107">
        <f t="shared" si="35"/>
        <v>4.8822152830155049E-2</v>
      </c>
      <c r="L59" s="107">
        <f t="shared" si="35"/>
        <v>0.17301038062283738</v>
      </c>
      <c r="M59" s="107">
        <f t="shared" si="35"/>
        <v>1.8382352941176468E-2</v>
      </c>
    </row>
    <row r="60" spans="1:15">
      <c r="B60" s="103"/>
      <c r="C60" s="124" t="s">
        <v>40</v>
      </c>
      <c r="D60" s="125" t="s">
        <v>37</v>
      </c>
      <c r="E60" s="125" t="s">
        <v>37</v>
      </c>
      <c r="F60" s="125" t="s">
        <v>37</v>
      </c>
      <c r="G60" s="125" t="s">
        <v>37</v>
      </c>
      <c r="H60" s="125" t="s">
        <v>37</v>
      </c>
      <c r="I60" s="125" t="s">
        <v>37</v>
      </c>
      <c r="J60" s="125" t="s">
        <v>37</v>
      </c>
      <c r="K60" s="125" t="s">
        <v>37</v>
      </c>
      <c r="L60" s="125" t="s">
        <v>37</v>
      </c>
      <c r="M60" s="125" t="s">
        <v>37</v>
      </c>
    </row>
    <row r="61" spans="1:15" ht="14.4" thickBot="1">
      <c r="A61" s="13" t="s">
        <v>2</v>
      </c>
      <c r="B61" s="97">
        <f>1-SUM(B62:B64)</f>
        <v>0.19999999999999996</v>
      </c>
      <c r="C61" s="109"/>
      <c r="D61" s="107">
        <f>D$55/(IF($B$40&gt;0,$B$40,1)*D$25)</f>
        <v>2.9552434156927293E-2</v>
      </c>
      <c r="E61" s="107">
        <f t="shared" ref="E61:M61" si="36">E$55/(IF($B$40&gt;0,$B$40,1)*E$25)</f>
        <v>5.378609372976819E-2</v>
      </c>
      <c r="F61" s="107">
        <f t="shared" si="36"/>
        <v>4.8709003556617309E-2</v>
      </c>
      <c r="G61" s="107">
        <f t="shared" si="36"/>
        <v>1.6922807232963858E-2</v>
      </c>
      <c r="H61" s="107">
        <f t="shared" si="36"/>
        <v>0.36083579585354025</v>
      </c>
      <c r="I61" s="107">
        <f t="shared" si="36"/>
        <v>0.10061136979247971</v>
      </c>
      <c r="J61" s="107">
        <f t="shared" si="36"/>
        <v>8.6513573247898878E-2</v>
      </c>
      <c r="K61" s="107">
        <f t="shared" si="36"/>
        <v>3.1390945465682149E-2</v>
      </c>
      <c r="L61" s="107">
        <f t="shared" si="36"/>
        <v>0.27809913678027948</v>
      </c>
      <c r="M61" s="107">
        <f t="shared" si="36"/>
        <v>0.23638426626323747</v>
      </c>
    </row>
    <row r="62" spans="1:15" ht="14.4" thickBot="1">
      <c r="A62" s="1">
        <v>2</v>
      </c>
      <c r="B62" s="99">
        <f>$B$41</f>
        <v>0.8</v>
      </c>
      <c r="C62" s="109"/>
      <c r="D62" s="107">
        <f>D$56/(IF($B$41&gt;0,$B$41,1)*D$25)</f>
        <v>5.0065300218794469E-2</v>
      </c>
      <c r="E62" s="107">
        <f t="shared" ref="E62:M62" si="37">E$56/(IF($B$41&gt;0,$B$41,1)*E$25)</f>
        <v>9.1119970553960219E-2</v>
      </c>
      <c r="F62" s="107">
        <f t="shared" si="37"/>
        <v>8.2518782495916362E-2</v>
      </c>
      <c r="G62" s="107">
        <f t="shared" si="37"/>
        <v>2.8669226371138758E-2</v>
      </c>
      <c r="H62" s="107">
        <f t="shared" si="37"/>
        <v>0.6112982894459974</v>
      </c>
      <c r="I62" s="107">
        <f t="shared" si="37"/>
        <v>0.1704474970602009</v>
      </c>
      <c r="J62" s="107">
        <f t="shared" si="37"/>
        <v>0.14656417114938158</v>
      </c>
      <c r="K62" s="107">
        <f t="shared" si="37"/>
        <v>5.3179954671273275E-2</v>
      </c>
      <c r="L62" s="107">
        <f t="shared" si="37"/>
        <v>0.47113265525129683</v>
      </c>
      <c r="M62" s="107">
        <f t="shared" si="37"/>
        <v>0.40046275696360228</v>
      </c>
    </row>
    <row r="63" spans="1:15" ht="14.4" thickBot="1">
      <c r="A63" s="1">
        <v>3</v>
      </c>
      <c r="B63" s="99">
        <f>$B$42</f>
        <v>0</v>
      </c>
      <c r="C63" s="109"/>
      <c r="D63" s="107">
        <f>D$57/(IF($B$42&gt;0,$B$42,1)*D$25)</f>
        <v>0</v>
      </c>
      <c r="E63" s="107">
        <f t="shared" ref="E63:M63" si="38">E$57/(IF($B$42&gt;0,$B$42,1)*E$25)</f>
        <v>0</v>
      </c>
      <c r="F63" s="107">
        <f t="shared" si="38"/>
        <v>0</v>
      </c>
      <c r="G63" s="107">
        <f t="shared" si="38"/>
        <v>0</v>
      </c>
      <c r="H63" s="107">
        <f t="shared" si="38"/>
        <v>0</v>
      </c>
      <c r="I63" s="107">
        <f t="shared" si="38"/>
        <v>0</v>
      </c>
      <c r="J63" s="107">
        <f t="shared" si="38"/>
        <v>0</v>
      </c>
      <c r="K63" s="107">
        <f t="shared" si="38"/>
        <v>0</v>
      </c>
      <c r="L63" s="107">
        <f t="shared" si="38"/>
        <v>0</v>
      </c>
      <c r="M63" s="107">
        <f t="shared" si="38"/>
        <v>0</v>
      </c>
    </row>
    <row r="64" spans="1:15" ht="14.4" thickBot="1">
      <c r="A64" s="1">
        <v>4</v>
      </c>
      <c r="B64" s="99">
        <f>$B$43</f>
        <v>0</v>
      </c>
      <c r="C64" s="54"/>
      <c r="D64" s="108">
        <f>D$58/(IF($B$43&gt;0,$B$43,1)*D$25)</f>
        <v>0</v>
      </c>
      <c r="E64" s="108">
        <f t="shared" ref="E64:M64" si="39">E$58/(IF($B$43&gt;0,$B$43,1)*E$25)</f>
        <v>0</v>
      </c>
      <c r="F64" s="108">
        <f t="shared" si="39"/>
        <v>0</v>
      </c>
      <c r="G64" s="108">
        <f t="shared" si="39"/>
        <v>0</v>
      </c>
      <c r="H64" s="108">
        <f t="shared" si="39"/>
        <v>0</v>
      </c>
      <c r="I64" s="108">
        <f t="shared" si="39"/>
        <v>0</v>
      </c>
      <c r="J64" s="108">
        <f t="shared" si="39"/>
        <v>0</v>
      </c>
      <c r="K64" s="108">
        <f t="shared" si="39"/>
        <v>0</v>
      </c>
      <c r="L64" s="108">
        <f t="shared" si="39"/>
        <v>0</v>
      </c>
      <c r="M64" s="108">
        <f t="shared" si="39"/>
        <v>0</v>
      </c>
    </row>
    <row r="65" spans="2:13">
      <c r="B65" s="100"/>
      <c r="C65" s="55" t="s">
        <v>42</v>
      </c>
      <c r="D65" s="107">
        <f>SUM(D61:D64)</f>
        <v>7.9617734375721755E-2</v>
      </c>
      <c r="E65" s="107">
        <f t="shared" ref="E65:M65" si="40">SUM(E61:E64)</f>
        <v>0.1449060642837284</v>
      </c>
      <c r="F65" s="107">
        <f t="shared" si="40"/>
        <v>0.13122778605253366</v>
      </c>
      <c r="G65" s="107">
        <f t="shared" si="40"/>
        <v>4.5592033604102619E-2</v>
      </c>
      <c r="H65" s="107">
        <f t="shared" si="40"/>
        <v>0.97213408529953771</v>
      </c>
      <c r="I65" s="107">
        <f t="shared" si="40"/>
        <v>0.2710588668526806</v>
      </c>
      <c r="J65" s="107">
        <f t="shared" si="40"/>
        <v>0.23307774439728046</v>
      </c>
      <c r="K65" s="107">
        <f t="shared" si="40"/>
        <v>8.4570900136955424E-2</v>
      </c>
      <c r="L65" s="107">
        <f t="shared" si="40"/>
        <v>0.7492317920315763</v>
      </c>
      <c r="M65" s="107">
        <f t="shared" si="40"/>
        <v>0.63684702322683973</v>
      </c>
    </row>
    <row r="66" spans="2:13">
      <c r="B66" s="100"/>
      <c r="C66" s="110" t="s">
        <v>24</v>
      </c>
      <c r="D66" s="120" t="str">
        <f>TRUNC(D65)&amp;"min "&amp;ROUND((D65-TRUNC(D65))*60,0)&amp;"sec"</f>
        <v>0min 5sec</v>
      </c>
      <c r="E66" s="120" t="str">
        <f t="shared" ref="E66:M66" si="41">TRUNC(E65)&amp;"min "&amp;ROUND((E65-TRUNC(E65))*60,0)&amp;"sec"</f>
        <v>0min 9sec</v>
      </c>
      <c r="F66" s="120" t="str">
        <f t="shared" si="41"/>
        <v>0min 8sec</v>
      </c>
      <c r="G66" s="120" t="str">
        <f t="shared" si="41"/>
        <v>0min 3sec</v>
      </c>
      <c r="H66" s="120" t="str">
        <f t="shared" si="41"/>
        <v>0min 58sec</v>
      </c>
      <c r="I66" s="120" t="str">
        <f t="shared" si="41"/>
        <v>0min 16sec</v>
      </c>
      <c r="J66" s="120" t="str">
        <f t="shared" si="41"/>
        <v>0min 14sec</v>
      </c>
      <c r="K66" s="120" t="str">
        <f t="shared" si="41"/>
        <v>0min 5sec</v>
      </c>
      <c r="L66" s="120" t="str">
        <f t="shared" si="41"/>
        <v>0min 45sec</v>
      </c>
      <c r="M66" s="120" t="str">
        <f t="shared" si="41"/>
        <v>0min 38sec</v>
      </c>
    </row>
    <row r="67" spans="2:13" ht="27.6">
      <c r="B67" s="100"/>
      <c r="C67" s="111" t="s">
        <v>43</v>
      </c>
      <c r="D67" s="123" t="str">
        <f>TRUNC(D65-D28)&amp;"min "&amp;ROUND(((D65-D28)-TRUNC(D65-D28))*60,0)&amp;"sec"</f>
        <v>0min 2sec</v>
      </c>
      <c r="E67" s="123" t="str">
        <f t="shared" ref="E67:M67" si="42">TRUNC(E65-E28)&amp;"min "&amp;ROUND(((E65-E28)-TRUNC(E65-E28))*60,0)&amp;"sec"</f>
        <v>0min 3sec</v>
      </c>
      <c r="F67" s="123" t="str">
        <f t="shared" si="42"/>
        <v>0min 3sec</v>
      </c>
      <c r="G67" s="123" t="str">
        <f t="shared" si="42"/>
        <v>0min 1sec</v>
      </c>
      <c r="H67" s="123" t="str">
        <f t="shared" si="42"/>
        <v>0min 20sec</v>
      </c>
      <c r="I67" s="123" t="str">
        <f t="shared" si="42"/>
        <v>0min 5sec</v>
      </c>
      <c r="J67" s="123" t="str">
        <f t="shared" si="42"/>
        <v>0min 5sec</v>
      </c>
      <c r="K67" s="123" t="str">
        <f t="shared" si="42"/>
        <v>0min 2sec</v>
      </c>
      <c r="L67" s="123" t="str">
        <f t="shared" si="42"/>
        <v>0min 19sec</v>
      </c>
      <c r="M67" s="123" t="str">
        <f t="shared" si="42"/>
        <v>0min 24sec</v>
      </c>
    </row>
  </sheetData>
  <mergeCells count="1">
    <mergeCell ref="D5:E5"/>
  </mergeCells>
  <conditionalFormatting sqref="D28:M28">
    <cfRule type="cellIs" dxfId="82" priority="23" stopIfTrue="1" operator="greaterThan">
      <formula>2.9</formula>
    </cfRule>
  </conditionalFormatting>
  <conditionalFormatting sqref="D31:M31">
    <cfRule type="cellIs" dxfId="81" priority="17" operator="greaterThanOrEqual">
      <formula>0.49</formula>
    </cfRule>
    <cfRule type="cellIs" dxfId="80" priority="21" operator="greaterThan">
      <formula>1</formula>
    </cfRule>
  </conditionalFormatting>
  <conditionalFormatting sqref="D15:M15">
    <cfRule type="cellIs" dxfId="79" priority="20" stopIfTrue="1" operator="greaterThan">
      <formula>3</formula>
    </cfRule>
  </conditionalFormatting>
  <conditionalFormatting sqref="D27:M27">
    <cfRule type="cellIs" dxfId="78" priority="19" stopIfTrue="1" operator="greaterThan">
      <formula>3</formula>
    </cfRule>
  </conditionalFormatting>
  <conditionalFormatting sqref="D19:M19">
    <cfRule type="cellIs" dxfId="77" priority="18" operator="greaterThanOrEqual">
      <formula>0.49</formula>
    </cfRule>
    <cfRule type="cellIs" dxfId="76" priority="22" operator="greaterThan">
      <formula>1</formula>
    </cfRule>
  </conditionalFormatting>
  <conditionalFormatting sqref="D17:M17">
    <cfRule type="expression" dxfId="75" priority="14" stopIfTrue="1">
      <formula>D$16&gt;2.9</formula>
    </cfRule>
  </conditionalFormatting>
  <conditionalFormatting sqref="D16:M16">
    <cfRule type="cellIs" dxfId="74" priority="13" stopIfTrue="1" operator="greaterThan">
      <formula>2.9</formula>
    </cfRule>
  </conditionalFormatting>
  <conditionalFormatting sqref="D29:M29">
    <cfRule type="expression" dxfId="73" priority="12" stopIfTrue="1">
      <formula>D$28&gt;2.9</formula>
    </cfRule>
  </conditionalFormatting>
  <conditionalFormatting sqref="D38">
    <cfRule type="expression" dxfId="72" priority="9">
      <formula>IF(AND(D44&lt;1,E44&lt;1,F44&lt;1,G44&lt;1,H44&lt;1,I44&lt;1,J44&lt;1,K44&lt;1,L44&lt;1,M44&lt;1),FALSE,TRUE)</formula>
    </cfRule>
    <cfRule type="expression" dxfId="71" priority="10">
      <formula>AND(D44&lt;1,E44&lt;1,F44&lt;1,G44&lt;1,H44&lt;1,I44,1,J44,1,K44&lt;1,L44&lt;1,M44)</formula>
    </cfRule>
  </conditionalFormatting>
  <conditionalFormatting sqref="D44:M44">
    <cfRule type="cellIs" dxfId="70" priority="8" operator="greaterThan">
      <formula>0.99</formula>
    </cfRule>
  </conditionalFormatting>
  <conditionalFormatting sqref="D52:M52">
    <cfRule type="expression" dxfId="69" priority="7">
      <formula>(D$50-D$16)&gt;1</formula>
    </cfRule>
  </conditionalFormatting>
  <conditionalFormatting sqref="D53">
    <cfRule type="expression" dxfId="68" priority="4">
      <formula>IF(AND(D59&lt;1,E59&lt;1,F59&lt;1,G59&lt;1,H59&lt;1,I59&lt;1,J59&lt;1,K59&lt;1,L59&lt;1,M59&lt;1),FALSE,TRUE)</formula>
    </cfRule>
    <cfRule type="expression" dxfId="67" priority="5">
      <formula>AND(D59&lt;1,E59&lt;1,F59&lt;1,G59&lt;1,H59&lt;1,I59&lt;1,J59&lt;1,K59&lt;1,L59&lt;1,M59&lt;1)</formula>
    </cfRule>
  </conditionalFormatting>
  <conditionalFormatting sqref="D67:M67">
    <cfRule type="expression" dxfId="66" priority="3">
      <formula>(D$65-D$28)&gt;1</formula>
    </cfRule>
  </conditionalFormatting>
  <conditionalFormatting sqref="D23:M23">
    <cfRule type="expression" dxfId="65" priority="2" stopIfTrue="1">
      <formula>D$16&gt;2.9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3:S68"/>
  <sheetViews>
    <sheetView workbookViewId="0">
      <pane ySplit="10" topLeftCell="A11" activePane="bottomLeft" state="frozen"/>
      <selection activeCell="O31" sqref="O31"/>
      <selection pane="bottomLeft" activeCell="N15" sqref="N15"/>
    </sheetView>
  </sheetViews>
  <sheetFormatPr defaultRowHeight="13.8"/>
  <cols>
    <col min="1" max="1" width="16.33203125" style="1" customWidth="1"/>
    <col min="2" max="2" width="4.6640625" style="1" customWidth="1"/>
    <col min="3" max="3" width="31.44140625" style="1" customWidth="1"/>
    <col min="4" max="4" width="10.5546875" style="1" customWidth="1"/>
    <col min="5" max="9" width="10.5546875" style="1" bestFit="1" customWidth="1"/>
    <col min="10" max="11" width="9.88671875" style="1" bestFit="1" customWidth="1"/>
    <col min="12" max="13" width="10.5546875" style="1" bestFit="1" customWidth="1"/>
    <col min="14" max="16" width="8.88671875" style="1"/>
    <col min="17" max="17" width="8.44140625" style="1" customWidth="1"/>
    <col min="18" max="16384" width="8.88671875" style="1"/>
  </cols>
  <sheetData>
    <row r="3" spans="1:16">
      <c r="A3" s="112"/>
    </row>
    <row r="4" spans="1:16" ht="14.4" thickBot="1">
      <c r="A4" s="112"/>
      <c r="B4" s="7"/>
      <c r="C4" s="7"/>
      <c r="D4" s="7"/>
      <c r="E4" s="7"/>
      <c r="F4" s="7"/>
      <c r="G4" s="7"/>
      <c r="H4" s="7"/>
      <c r="I4" s="7"/>
      <c r="J4" s="7"/>
      <c r="K4" s="112"/>
      <c r="L4" s="112"/>
      <c r="M4" s="112"/>
    </row>
    <row r="5" spans="1:16" ht="14.4" thickBot="1">
      <c r="A5" s="112"/>
      <c r="B5" s="7"/>
      <c r="C5" s="8" t="s">
        <v>35</v>
      </c>
      <c r="D5" s="206" t="s">
        <v>30</v>
      </c>
      <c r="E5" s="207"/>
      <c r="F5" s="9" t="s">
        <v>33</v>
      </c>
      <c r="G5" s="10" t="s">
        <v>34</v>
      </c>
      <c r="H5" s="11" t="s">
        <v>34</v>
      </c>
      <c r="I5" s="12" t="s">
        <v>34</v>
      </c>
      <c r="J5" s="7"/>
      <c r="K5" s="112"/>
      <c r="L5" s="112"/>
      <c r="M5" s="112"/>
    </row>
    <row r="6" spans="1:16">
      <c r="A6" s="112"/>
      <c r="B6" s="7"/>
      <c r="C6" s="7"/>
      <c r="D6" s="7"/>
      <c r="E6" s="7"/>
      <c r="F6" s="7"/>
      <c r="G6" s="7"/>
      <c r="H6" s="7"/>
      <c r="I6" s="7"/>
      <c r="J6" s="7"/>
      <c r="K6" s="112"/>
      <c r="L6" s="112"/>
      <c r="M6" s="112"/>
    </row>
    <row r="7" spans="1:16">
      <c r="A7" s="112"/>
      <c r="C7" s="13" t="s">
        <v>13</v>
      </c>
      <c r="D7" s="14" t="s">
        <v>14</v>
      </c>
      <c r="E7" s="14" t="s">
        <v>15</v>
      </c>
      <c r="F7" s="14" t="s">
        <v>16</v>
      </c>
      <c r="G7" s="14" t="s">
        <v>17</v>
      </c>
      <c r="H7" s="14" t="s">
        <v>18</v>
      </c>
      <c r="I7" s="14" t="s">
        <v>19</v>
      </c>
      <c r="J7" s="14" t="s">
        <v>20</v>
      </c>
      <c r="K7" s="14" t="s">
        <v>21</v>
      </c>
      <c r="L7" s="14" t="s">
        <v>22</v>
      </c>
      <c r="M7" s="14" t="s">
        <v>23</v>
      </c>
    </row>
    <row r="8" spans="1:16">
      <c r="C8" s="15" t="s">
        <v>25</v>
      </c>
      <c r="D8" s="16" t="str">
        <f>$D$12&amp;" to "&amp;$D$24</f>
        <v>2 to 3</v>
      </c>
      <c r="E8" s="16" t="str">
        <f>$E$12&amp;" to "&amp;$E$24</f>
        <v>2 to 3</v>
      </c>
      <c r="F8" s="16" t="str">
        <f>$F$12&amp;" to "&amp;$F$24</f>
        <v>2 to 3</v>
      </c>
      <c r="G8" s="16" t="str">
        <f>$G$12&amp;" to "&amp;$G$24</f>
        <v>1 to 2</v>
      </c>
      <c r="H8" s="16" t="str">
        <f>$H$12&amp;" to "&amp;$H$24</f>
        <v>1 to 2</v>
      </c>
      <c r="I8" s="16" t="str">
        <f>$I$12&amp;" to "&amp;$I$24</f>
        <v>1 to 2</v>
      </c>
      <c r="J8" s="16" t="str">
        <f>$J$12&amp;" to "&amp;$J$24</f>
        <v>2 to 3</v>
      </c>
      <c r="K8" s="16" t="str">
        <f>$K$12&amp;" to "&amp;$K$24</f>
        <v>2 to 3</v>
      </c>
      <c r="L8" s="16" t="str">
        <f>$L$12&amp;" to "&amp;$L$24</f>
        <v>1 to 2</v>
      </c>
      <c r="M8" s="16" t="str">
        <f>$M$12&amp;" to "&amp;$M$24</f>
        <v>1 to 1</v>
      </c>
    </row>
    <row r="9" spans="1:16">
      <c r="B9" s="17"/>
      <c r="C9" s="18" t="s">
        <v>31</v>
      </c>
      <c r="D9" s="19">
        <v>21.824701195219124</v>
      </c>
      <c r="E9" s="19">
        <v>26.346613545816734</v>
      </c>
      <c r="F9" s="19">
        <v>23.593625498007967</v>
      </c>
      <c r="G9" s="19">
        <v>13.960159362549801</v>
      </c>
      <c r="H9" s="19">
        <v>10.135458167330677</v>
      </c>
      <c r="I9" s="19">
        <v>17.031872509960159</v>
      </c>
      <c r="J9" s="19">
        <v>18.788844621513945</v>
      </c>
      <c r="K9" s="19">
        <v>18.044</v>
      </c>
      <c r="L9" s="19">
        <v>9.2680000000000007</v>
      </c>
      <c r="M9" s="19">
        <v>1.2948717948717949</v>
      </c>
      <c r="N9" s="20"/>
      <c r="O9" s="20"/>
      <c r="P9" s="20"/>
    </row>
    <row r="10" spans="1:16">
      <c r="B10" s="17"/>
      <c r="C10" s="18" t="s">
        <v>32</v>
      </c>
      <c r="D10" s="21">
        <v>40</v>
      </c>
      <c r="E10" s="21">
        <v>47</v>
      </c>
      <c r="F10" s="21">
        <v>44</v>
      </c>
      <c r="G10" s="21">
        <v>33</v>
      </c>
      <c r="H10" s="21">
        <v>22</v>
      </c>
      <c r="I10" s="21">
        <v>33</v>
      </c>
      <c r="J10" s="21">
        <v>37</v>
      </c>
      <c r="K10" s="21">
        <v>38</v>
      </c>
      <c r="L10" s="21">
        <v>23</v>
      </c>
      <c r="M10" s="21">
        <v>3</v>
      </c>
      <c r="N10" s="20"/>
      <c r="O10" s="20"/>
      <c r="P10" s="20"/>
    </row>
    <row r="11" spans="1:16" ht="14.4" thickBot="1">
      <c r="C11" s="15"/>
      <c r="D11" s="22"/>
      <c r="E11" s="16"/>
      <c r="F11" s="16"/>
      <c r="G11" s="16"/>
      <c r="H11" s="16"/>
      <c r="I11" s="16"/>
      <c r="J11" s="16"/>
      <c r="K11" s="16"/>
      <c r="L11" s="16"/>
      <c r="M11" s="16"/>
    </row>
    <row r="12" spans="1:16" ht="14.4" thickBot="1">
      <c r="A12" s="150" t="s">
        <v>3</v>
      </c>
      <c r="B12" s="151"/>
      <c r="C12" s="152" t="s">
        <v>4</v>
      </c>
      <c r="D12" s="24">
        <v>2</v>
      </c>
      <c r="E12" s="25">
        <v>2</v>
      </c>
      <c r="F12" s="25">
        <v>2</v>
      </c>
      <c r="G12" s="25">
        <v>1</v>
      </c>
      <c r="H12" s="25">
        <v>1</v>
      </c>
      <c r="I12" s="25">
        <v>1</v>
      </c>
      <c r="J12" s="25">
        <v>2</v>
      </c>
      <c r="K12" s="25">
        <v>2</v>
      </c>
      <c r="L12" s="25">
        <v>1</v>
      </c>
      <c r="M12" s="153">
        <v>1</v>
      </c>
    </row>
    <row r="13" spans="1:16">
      <c r="A13" s="154" t="s">
        <v>12</v>
      </c>
      <c r="B13" s="26"/>
      <c r="C13" s="27" t="s">
        <v>5</v>
      </c>
      <c r="D13" s="28">
        <f>D9/60</f>
        <v>0.36374501992031871</v>
      </c>
      <c r="E13" s="29">
        <f t="shared" ref="E13:M13" si="0">E9/60</f>
        <v>0.43911022576361225</v>
      </c>
      <c r="F13" s="29">
        <f t="shared" si="0"/>
        <v>0.39322709163346609</v>
      </c>
      <c r="G13" s="29">
        <f t="shared" si="0"/>
        <v>0.23266932270916335</v>
      </c>
      <c r="H13" s="29">
        <f t="shared" si="0"/>
        <v>0.16892430278884463</v>
      </c>
      <c r="I13" s="29">
        <f t="shared" si="0"/>
        <v>0.28386454183266935</v>
      </c>
      <c r="J13" s="29">
        <f t="shared" si="0"/>
        <v>0.31314741035856575</v>
      </c>
      <c r="K13" s="29">
        <f t="shared" si="0"/>
        <v>0.30073333333333335</v>
      </c>
      <c r="L13" s="29">
        <f t="shared" si="0"/>
        <v>0.15446666666666667</v>
      </c>
      <c r="M13" s="155">
        <f t="shared" si="0"/>
        <v>2.1581196581196581E-2</v>
      </c>
    </row>
    <row r="14" spans="1:16">
      <c r="A14" s="156"/>
      <c r="B14" s="30"/>
      <c r="C14" s="31" t="s">
        <v>6</v>
      </c>
      <c r="D14" s="32">
        <v>0.5550816305034757</v>
      </c>
      <c r="E14" s="32">
        <v>0.5550816305034757</v>
      </c>
      <c r="F14" s="32">
        <v>0.5550816305034757</v>
      </c>
      <c r="G14" s="32">
        <v>0.5550816305034757</v>
      </c>
      <c r="H14" s="32">
        <v>0.5550816305034757</v>
      </c>
      <c r="I14" s="32">
        <v>0.5550816305034757</v>
      </c>
      <c r="J14" s="32">
        <v>0.5550816305034757</v>
      </c>
      <c r="K14" s="32">
        <v>0.5550816305034757</v>
      </c>
      <c r="L14" s="32">
        <v>0.5550816305034757</v>
      </c>
      <c r="M14" s="195">
        <v>0.5550816305034757</v>
      </c>
    </row>
    <row r="15" spans="1:16">
      <c r="A15" s="158" t="s">
        <v>27</v>
      </c>
      <c r="B15" s="26"/>
      <c r="C15" s="34" t="s">
        <v>26</v>
      </c>
      <c r="D15" s="35">
        <f>QueueInfinite(D13,D14,D12)</f>
        <v>7.881005121524344E-2</v>
      </c>
      <c r="E15" s="36">
        <f t="shared" ref="E15:M15" si="1">QueueInfinite(E13,E14,E12)</f>
        <v>0.14671646800595167</v>
      </c>
      <c r="F15" s="36">
        <f t="shared" si="1"/>
        <v>0.10162982743592931</v>
      </c>
      <c r="G15" s="36">
        <f t="shared" si="1"/>
        <v>0.30248913757631957</v>
      </c>
      <c r="H15" s="36">
        <f t="shared" si="1"/>
        <v>0.13312607706523386</v>
      </c>
      <c r="I15" s="36">
        <f t="shared" si="1"/>
        <v>0.53523978709240816</v>
      </c>
      <c r="J15" s="36">
        <f t="shared" si="1"/>
        <v>4.8766653519586853E-2</v>
      </c>
      <c r="K15" s="36">
        <f t="shared" si="1"/>
        <v>4.2905543310939223E-2</v>
      </c>
      <c r="L15" s="36">
        <f t="shared" si="1"/>
        <v>0.10729649295583367</v>
      </c>
      <c r="M15" s="159">
        <f t="shared" si="1"/>
        <v>1.5727489687902825E-3</v>
      </c>
    </row>
    <row r="16" spans="1:16" hidden="1">
      <c r="A16" s="154"/>
      <c r="B16" s="26"/>
      <c r="C16" s="27" t="s">
        <v>7</v>
      </c>
      <c r="D16" s="37">
        <f>D15/D13</f>
        <v>0.21666290093128263</v>
      </c>
      <c r="E16" s="38">
        <f t="shared" ref="E16:M16" si="2">E15/E13</f>
        <v>0.334122184813191</v>
      </c>
      <c r="F16" s="38">
        <f t="shared" si="2"/>
        <v>0.25845072630616273</v>
      </c>
      <c r="G16" s="38">
        <f t="shared" si="2"/>
        <v>1.300081738555757</v>
      </c>
      <c r="H16" s="38">
        <f t="shared" si="2"/>
        <v>0.78808125809843621</v>
      </c>
      <c r="I16" s="38">
        <f t="shared" si="2"/>
        <v>1.8855464780378166</v>
      </c>
      <c r="J16" s="38">
        <f t="shared" si="2"/>
        <v>0.1557306620027519</v>
      </c>
      <c r="K16" s="38">
        <f t="shared" si="2"/>
        <v>0.14266972947552389</v>
      </c>
      <c r="L16" s="38">
        <f t="shared" si="2"/>
        <v>0.69462554783664443</v>
      </c>
      <c r="M16" s="160">
        <f t="shared" si="2"/>
        <v>7.2875892811272491E-2</v>
      </c>
    </row>
    <row r="17" spans="1:17" ht="14.4" thickBot="1">
      <c r="A17" s="161"/>
      <c r="B17" s="26"/>
      <c r="C17" s="39" t="s">
        <v>24</v>
      </c>
      <c r="D17" s="115" t="str">
        <f>TRUNC(D16)&amp;"min "&amp;ROUND((D16-TRUNC(D16))*60,0)&amp;"sec"</f>
        <v>0min 13sec</v>
      </c>
      <c r="E17" s="115" t="str">
        <f t="shared" ref="E17:M17" si="3">TRUNC(E16)&amp;"min "&amp;ROUND((E16-TRUNC(E16))*60,0)&amp;"sec"</f>
        <v>0min 20sec</v>
      </c>
      <c r="F17" s="115" t="str">
        <f t="shared" si="3"/>
        <v>0min 16sec</v>
      </c>
      <c r="G17" s="115" t="str">
        <f t="shared" si="3"/>
        <v>1min 18sec</v>
      </c>
      <c r="H17" s="115" t="str">
        <f t="shared" si="3"/>
        <v>0min 47sec</v>
      </c>
      <c r="I17" s="115" t="str">
        <f t="shared" si="3"/>
        <v>1min 53sec</v>
      </c>
      <c r="J17" s="115" t="str">
        <f t="shared" si="3"/>
        <v>0min 9sec</v>
      </c>
      <c r="K17" s="115" t="str">
        <f t="shared" si="3"/>
        <v>0min 9sec</v>
      </c>
      <c r="L17" s="115" t="str">
        <f t="shared" si="3"/>
        <v>0min 42sec</v>
      </c>
      <c r="M17" s="162" t="str">
        <f t="shared" si="3"/>
        <v>0min 4sec</v>
      </c>
      <c r="O17" s="40" t="s">
        <v>46</v>
      </c>
    </row>
    <row r="18" spans="1:17" ht="28.2" thickBot="1">
      <c r="A18" s="163" t="s">
        <v>29</v>
      </c>
      <c r="B18" s="41">
        <v>3</v>
      </c>
      <c r="C18" s="42" t="str">
        <f>A13&amp;" waiting in line"</f>
        <v>(minutes) waiting in line</v>
      </c>
      <c r="D18" s="43" t="str">
        <f>" = " &amp; ROUND((1-D19)/D19*D15*EXP((D13-D12*D14)*$B$18),4)*100 &amp; "%"</f>
        <v xml:space="preserve"> = 1.72%</v>
      </c>
      <c r="E18" s="44" t="str">
        <f t="shared" ref="E18:M18" si="4">" = " &amp; ROUND((1-E19)/E19*E15*EXP((E13-E12*E14)*$B$18),4)*100 &amp; "%"</f>
        <v xml:space="preserve"> = 2.99%</v>
      </c>
      <c r="F18" s="44" t="str">
        <f t="shared" si="4"/>
        <v xml:space="preserve"> = 2.16%</v>
      </c>
      <c r="G18" s="44" t="str">
        <f t="shared" si="4"/>
        <v xml:space="preserve"> = 15.93%</v>
      </c>
      <c r="H18" s="44" t="str">
        <f t="shared" si="4"/>
        <v xml:space="preserve"> = 9.55%</v>
      </c>
      <c r="I18" s="44" t="str">
        <f t="shared" si="4"/>
        <v xml:space="preserve"> = 22.67%</v>
      </c>
      <c r="J18" s="44" t="str">
        <f t="shared" si="4"/>
        <v xml:space="preserve"> = 1.14%</v>
      </c>
      <c r="K18" s="44" t="str">
        <f t="shared" si="4"/>
        <v xml:space="preserve"> = 1.02%</v>
      </c>
      <c r="L18" s="44" t="str">
        <f t="shared" si="4"/>
        <v xml:space="preserve"> = 8.37%</v>
      </c>
      <c r="M18" s="164" t="str">
        <f t="shared" si="4"/>
        <v xml:space="preserve"> = 0.78%</v>
      </c>
    </row>
    <row r="19" spans="1:17">
      <c r="A19" s="165" t="s">
        <v>28</v>
      </c>
      <c r="B19" s="26"/>
      <c r="C19" s="23" t="s">
        <v>0</v>
      </c>
      <c r="D19" s="45">
        <f>D13/(D12*D14)</f>
        <v>0.327650024727346</v>
      </c>
      <c r="E19" s="45">
        <f t="shared" ref="E19:M19" si="5">E13/(E12*E14)</f>
        <v>0.39553662167249715</v>
      </c>
      <c r="F19" s="45">
        <f t="shared" si="5"/>
        <v>0.35420654370853283</v>
      </c>
      <c r="G19" s="45">
        <f t="shared" si="5"/>
        <v>0.41916235364900345</v>
      </c>
      <c r="H19" s="45">
        <f t="shared" si="5"/>
        <v>0.30432335264927651</v>
      </c>
      <c r="I19" s="45">
        <f t="shared" si="5"/>
        <v>0.51139242632690918</v>
      </c>
      <c r="J19" s="45">
        <f t="shared" si="5"/>
        <v>0.28207329620557942</v>
      </c>
      <c r="K19" s="45">
        <f t="shared" si="5"/>
        <v>0.27089108773114973</v>
      </c>
      <c r="L19" s="45">
        <f t="shared" si="5"/>
        <v>0.27827738872670094</v>
      </c>
      <c r="M19" s="196">
        <f t="shared" si="5"/>
        <v>3.8879320437287375E-2</v>
      </c>
      <c r="O19" s="47" t="s">
        <v>45</v>
      </c>
      <c r="P19" s="48"/>
      <c r="Q19" s="48"/>
    </row>
    <row r="20" spans="1:17">
      <c r="A20" s="154"/>
      <c r="B20" s="26"/>
      <c r="C20" s="27" t="s">
        <v>8</v>
      </c>
      <c r="D20" s="49">
        <f>D19*D12</f>
        <v>0.655300049454692</v>
      </c>
      <c r="E20" s="50">
        <f t="shared" ref="E20:M20" si="6">E19*E12</f>
        <v>0.79107324334499429</v>
      </c>
      <c r="F20" s="50">
        <f t="shared" si="6"/>
        <v>0.70841308741706566</v>
      </c>
      <c r="G20" s="50">
        <f t="shared" si="6"/>
        <v>0.41916235364900345</v>
      </c>
      <c r="H20" s="50">
        <f t="shared" si="6"/>
        <v>0.30432335264927651</v>
      </c>
      <c r="I20" s="50">
        <f t="shared" si="6"/>
        <v>0.51139242632690918</v>
      </c>
      <c r="J20" s="50">
        <f t="shared" si="6"/>
        <v>0.56414659241115883</v>
      </c>
      <c r="K20" s="50">
        <f t="shared" si="6"/>
        <v>0.54178217546229945</v>
      </c>
      <c r="L20" s="50">
        <f t="shared" si="6"/>
        <v>0.27827738872670094</v>
      </c>
      <c r="M20" s="167">
        <f t="shared" si="6"/>
        <v>3.8879320437287375E-2</v>
      </c>
    </row>
    <row r="21" spans="1:17">
      <c r="A21" s="154"/>
      <c r="B21" s="26"/>
      <c r="C21" s="27" t="s">
        <v>9</v>
      </c>
      <c r="D21" s="49">
        <f>(D12*D19)+D15</f>
        <v>0.73411010066993543</v>
      </c>
      <c r="E21" s="50">
        <f t="shared" ref="E21:M21" si="7">(E12*E19)+E15</f>
        <v>0.93778971135094591</v>
      </c>
      <c r="F21" s="50">
        <f t="shared" si="7"/>
        <v>0.81004291485299496</v>
      </c>
      <c r="G21" s="50">
        <f t="shared" si="7"/>
        <v>0.72165149122532302</v>
      </c>
      <c r="H21" s="50">
        <f t="shared" si="7"/>
        <v>0.4374494297145104</v>
      </c>
      <c r="I21" s="50">
        <f t="shared" si="7"/>
        <v>1.0466322134193173</v>
      </c>
      <c r="J21" s="50">
        <f t="shared" si="7"/>
        <v>0.6129132459307457</v>
      </c>
      <c r="K21" s="50">
        <f t="shared" si="7"/>
        <v>0.58468771877323866</v>
      </c>
      <c r="L21" s="50">
        <f t="shared" si="7"/>
        <v>0.38557388168253459</v>
      </c>
      <c r="M21" s="167">
        <f t="shared" si="7"/>
        <v>4.0452069406077658E-2</v>
      </c>
      <c r="P21" s="51"/>
    </row>
    <row r="22" spans="1:17" hidden="1">
      <c r="A22" s="154" t="s">
        <v>12</v>
      </c>
      <c r="B22" s="26"/>
      <c r="C22" s="34" t="s">
        <v>10</v>
      </c>
      <c r="D22" s="146">
        <f>D21/D13</f>
        <v>2.0181997291144995</v>
      </c>
      <c r="E22" s="147">
        <f t="shared" ref="E22:M22" si="8">E21/E13</f>
        <v>2.1356590129964079</v>
      </c>
      <c r="F22" s="147">
        <f t="shared" si="8"/>
        <v>2.0599875544893793</v>
      </c>
      <c r="G22" s="147">
        <f t="shared" si="8"/>
        <v>3.1016185667389737</v>
      </c>
      <c r="H22" s="147">
        <f t="shared" si="8"/>
        <v>2.5896180862816536</v>
      </c>
      <c r="I22" s="147">
        <f t="shared" si="8"/>
        <v>3.6870833062210333</v>
      </c>
      <c r="J22" s="147">
        <f t="shared" si="8"/>
        <v>1.957267490185969</v>
      </c>
      <c r="K22" s="147">
        <f t="shared" si="8"/>
        <v>1.9442065576587406</v>
      </c>
      <c r="L22" s="147">
        <f t="shared" si="8"/>
        <v>2.4961623760198615</v>
      </c>
      <c r="M22" s="168">
        <f t="shared" si="8"/>
        <v>1.8744127209944894</v>
      </c>
    </row>
    <row r="23" spans="1:17">
      <c r="A23" s="154"/>
      <c r="B23" s="26"/>
      <c r="C23" s="34" t="s">
        <v>49</v>
      </c>
      <c r="D23" s="115" t="str">
        <f>TRUNC(D22)&amp;"min "&amp;ROUND((D22-TRUNC(D22))*60,0)&amp;"sec"</f>
        <v>2min 1sec</v>
      </c>
      <c r="E23" s="115" t="str">
        <f t="shared" ref="E23:M23" si="9">TRUNC(E22)&amp;"min "&amp;ROUND((E22-TRUNC(E22))*60,0)&amp;"sec"</f>
        <v>2min 8sec</v>
      </c>
      <c r="F23" s="115" t="str">
        <f t="shared" si="9"/>
        <v>2min 4sec</v>
      </c>
      <c r="G23" s="115" t="str">
        <f t="shared" si="9"/>
        <v>3min 6sec</v>
      </c>
      <c r="H23" s="115" t="str">
        <f t="shared" si="9"/>
        <v>2min 35sec</v>
      </c>
      <c r="I23" s="115" t="str">
        <f t="shared" si="9"/>
        <v>3min 41sec</v>
      </c>
      <c r="J23" s="115" t="str">
        <f t="shared" si="9"/>
        <v>1min 57sec</v>
      </c>
      <c r="K23" s="115" t="str">
        <f t="shared" si="9"/>
        <v>1min 57sec</v>
      </c>
      <c r="L23" s="115" t="str">
        <f t="shared" si="9"/>
        <v>2min 30sec</v>
      </c>
      <c r="M23" s="162" t="str">
        <f t="shared" si="9"/>
        <v>1min 52sec</v>
      </c>
    </row>
    <row r="24" spans="1:17" ht="14.4" thickBot="1">
      <c r="A24" s="171" t="s">
        <v>11</v>
      </c>
      <c r="B24" s="54"/>
      <c r="C24" s="55" t="s">
        <v>4</v>
      </c>
      <c r="D24" s="56">
        <v>3</v>
      </c>
      <c r="E24" s="57">
        <v>3</v>
      </c>
      <c r="F24" s="57">
        <v>3</v>
      </c>
      <c r="G24" s="57">
        <v>2</v>
      </c>
      <c r="H24" s="57">
        <v>2</v>
      </c>
      <c r="I24" s="57">
        <v>2</v>
      </c>
      <c r="J24" s="57">
        <v>3</v>
      </c>
      <c r="K24" s="57">
        <v>3</v>
      </c>
      <c r="L24" s="57">
        <v>2</v>
      </c>
      <c r="M24" s="172">
        <v>1</v>
      </c>
    </row>
    <row r="25" spans="1:17">
      <c r="A25" s="173" t="s">
        <v>12</v>
      </c>
      <c r="B25" s="54"/>
      <c r="C25" s="58" t="s">
        <v>5</v>
      </c>
      <c r="D25" s="59">
        <f>D10/60</f>
        <v>0.66666666666666663</v>
      </c>
      <c r="E25" s="60">
        <f t="shared" ref="E25:M25" si="10">E10/60</f>
        <v>0.78333333333333333</v>
      </c>
      <c r="F25" s="60">
        <f t="shared" si="10"/>
        <v>0.73333333333333328</v>
      </c>
      <c r="G25" s="60">
        <f t="shared" si="10"/>
        <v>0.55000000000000004</v>
      </c>
      <c r="H25" s="60">
        <f t="shared" si="10"/>
        <v>0.36666666666666664</v>
      </c>
      <c r="I25" s="60">
        <f t="shared" si="10"/>
        <v>0.55000000000000004</v>
      </c>
      <c r="J25" s="60">
        <f t="shared" si="10"/>
        <v>0.6166666666666667</v>
      </c>
      <c r="K25" s="60">
        <f t="shared" si="10"/>
        <v>0.6333333333333333</v>
      </c>
      <c r="L25" s="60">
        <f t="shared" si="10"/>
        <v>0.38333333333333336</v>
      </c>
      <c r="M25" s="174">
        <f t="shared" si="10"/>
        <v>0.05</v>
      </c>
    </row>
    <row r="26" spans="1:17">
      <c r="A26" s="175"/>
      <c r="B26" s="61"/>
      <c r="C26" s="62" t="s">
        <v>6</v>
      </c>
      <c r="D26" s="63">
        <v>0.56302448915104286</v>
      </c>
      <c r="E26" s="64">
        <v>0.56302448915104286</v>
      </c>
      <c r="F26" s="64">
        <v>0.56302448915104286</v>
      </c>
      <c r="G26" s="64">
        <v>0.56302448915104286</v>
      </c>
      <c r="H26" s="64">
        <v>0.56302448915104286</v>
      </c>
      <c r="I26" s="64">
        <v>0.56302448915104286</v>
      </c>
      <c r="J26" s="64">
        <v>0.56302448915104286</v>
      </c>
      <c r="K26" s="64">
        <v>0.56302448915104286</v>
      </c>
      <c r="L26" s="64">
        <v>0.56302448915104286</v>
      </c>
      <c r="M26" s="176">
        <v>0.56302448915104286</v>
      </c>
    </row>
    <row r="27" spans="1:17">
      <c r="A27" s="177" t="s">
        <v>27</v>
      </c>
      <c r="B27" s="54"/>
      <c r="C27" s="66" t="s">
        <v>26</v>
      </c>
      <c r="D27" s="67">
        <f>QueueInfinite(D25,D26,D24)</f>
        <v>8.9180297173802089E-2</v>
      </c>
      <c r="E27" s="68">
        <f t="shared" ref="E27:M27" si="11">QueueInfinite(E25,E26,E24)</f>
        <v>0.17251972598264795</v>
      </c>
      <c r="F27" s="68">
        <f t="shared" si="11"/>
        <v>0.13136441097095389</v>
      </c>
      <c r="G27" s="68">
        <f t="shared" si="11"/>
        <v>0.30606570345067569</v>
      </c>
      <c r="H27" s="68">
        <f t="shared" si="11"/>
        <v>7.724127689856658E-2</v>
      </c>
      <c r="I27" s="68">
        <f t="shared" si="11"/>
        <v>0.30606570345067569</v>
      </c>
      <c r="J27" s="68">
        <f t="shared" si="11"/>
        <v>6.5241604870048694E-2</v>
      </c>
      <c r="K27" s="68">
        <f t="shared" si="11"/>
        <v>7.2577809703978244E-2</v>
      </c>
      <c r="L27" s="68">
        <f t="shared" si="11"/>
        <v>8.9244332017003367E-2</v>
      </c>
      <c r="M27" s="178">
        <f t="shared" si="11"/>
        <v>8.6551505571519447E-3</v>
      </c>
    </row>
    <row r="28" spans="1:17" hidden="1">
      <c r="A28" s="173"/>
      <c r="B28" s="54"/>
      <c r="C28" s="58" t="s">
        <v>7</v>
      </c>
      <c r="D28" s="113">
        <f>D27/D25</f>
        <v>0.13377044576070315</v>
      </c>
      <c r="E28" s="113">
        <f t="shared" ref="E28:M28" si="12">E27/E25</f>
        <v>0.22023794806295482</v>
      </c>
      <c r="F28" s="113">
        <f t="shared" si="12"/>
        <v>0.1791332876876644</v>
      </c>
      <c r="G28" s="113">
        <f t="shared" si="12"/>
        <v>0.55648309718304667</v>
      </c>
      <c r="H28" s="113">
        <f t="shared" si="12"/>
        <v>0.21065802790518159</v>
      </c>
      <c r="I28" s="113">
        <f t="shared" si="12"/>
        <v>0.55648309718304667</v>
      </c>
      <c r="J28" s="113">
        <f t="shared" si="12"/>
        <v>0.10579719708656544</v>
      </c>
      <c r="K28" s="113">
        <f t="shared" si="12"/>
        <v>0.11459654163786039</v>
      </c>
      <c r="L28" s="113">
        <f t="shared" si="12"/>
        <v>0.2328113009139218</v>
      </c>
      <c r="M28" s="197">
        <f t="shared" si="12"/>
        <v>0.17310301114303889</v>
      </c>
      <c r="O28" s="71"/>
    </row>
    <row r="29" spans="1:17" ht="14.4" thickBot="1">
      <c r="A29" s="173"/>
      <c r="B29" s="54"/>
      <c r="C29" s="72" t="s">
        <v>24</v>
      </c>
      <c r="D29" s="117" t="str">
        <f>TRUNC(D28)&amp;"min "&amp;ROUND((D28-TRUNC(D28))*60,0)&amp;"sec"</f>
        <v>0min 8sec</v>
      </c>
      <c r="E29" s="117" t="str">
        <f t="shared" ref="E29:M29" si="13">TRUNC(E28)&amp;"min "&amp;ROUND((E28-TRUNC(E28))*60,0)&amp;"sec"</f>
        <v>0min 13sec</v>
      </c>
      <c r="F29" s="117" t="str">
        <f t="shared" si="13"/>
        <v>0min 11sec</v>
      </c>
      <c r="G29" s="117" t="str">
        <f t="shared" si="13"/>
        <v>0min 33sec</v>
      </c>
      <c r="H29" s="117" t="str">
        <f t="shared" si="13"/>
        <v>0min 13sec</v>
      </c>
      <c r="I29" s="117" t="str">
        <f t="shared" si="13"/>
        <v>0min 33sec</v>
      </c>
      <c r="J29" s="117" t="str">
        <f t="shared" si="13"/>
        <v>0min 6sec</v>
      </c>
      <c r="K29" s="117" t="str">
        <f t="shared" si="13"/>
        <v>0min 7sec</v>
      </c>
      <c r="L29" s="117" t="str">
        <f t="shared" si="13"/>
        <v>0min 14sec</v>
      </c>
      <c r="M29" s="198" t="str">
        <f t="shared" si="13"/>
        <v>0min 10sec</v>
      </c>
      <c r="O29" s="71"/>
    </row>
    <row r="30" spans="1:17" ht="28.2" thickBot="1">
      <c r="A30" s="181" t="s">
        <v>29</v>
      </c>
      <c r="B30" s="41">
        <v>3</v>
      </c>
      <c r="C30" s="73" t="str">
        <f>A25&amp;" waiting in line"</f>
        <v>(minutes) waiting in line</v>
      </c>
      <c r="D30" s="74" t="str">
        <f>" = " &amp; ROUND((1-D31)/D31*D27*EXP((D25-D24*D26)*$B$30),4)*100 &amp; "%"</f>
        <v xml:space="preserve"> = 0.64%</v>
      </c>
      <c r="E30" s="74" t="str">
        <f t="shared" ref="E30:M30" si="14">" = " &amp; ROUND((1-E31)/E31*E27*EXP((E25-E24*E26)*$B$30),4)*100 &amp; "%"</f>
        <v xml:space="preserve"> = 1.32%</v>
      </c>
      <c r="F30" s="74" t="str">
        <f t="shared" si="14"/>
        <v xml:space="preserve"> = 0.97%</v>
      </c>
      <c r="G30" s="74" t="str">
        <f t="shared" si="14"/>
        <v xml:space="preserve"> = 5.69%</v>
      </c>
      <c r="H30" s="74" t="str">
        <f t="shared" si="14"/>
        <v xml:space="preserve"> = 1.64%</v>
      </c>
      <c r="I30" s="74" t="str">
        <f t="shared" si="14"/>
        <v xml:space="preserve"> = 5.69%</v>
      </c>
      <c r="J30" s="74" t="str">
        <f t="shared" si="14"/>
        <v xml:space="preserve"> = 0.45%</v>
      </c>
      <c r="K30" s="74" t="str">
        <f t="shared" si="14"/>
        <v xml:space="preserve"> = 0.51%</v>
      </c>
      <c r="L30" s="74" t="str">
        <f t="shared" si="14"/>
        <v xml:space="preserve"> = 1.86%</v>
      </c>
      <c r="M30" s="182" t="str">
        <f t="shared" si="14"/>
        <v xml:space="preserve"> = 1.91%</v>
      </c>
      <c r="O30" s="71"/>
    </row>
    <row r="31" spans="1:17">
      <c r="A31" s="183" t="s">
        <v>28</v>
      </c>
      <c r="B31" s="54"/>
      <c r="C31" s="75" t="s">
        <v>0</v>
      </c>
      <c r="D31" s="76">
        <f>D25/(D24*D26)</f>
        <v>0.39469370605406567</v>
      </c>
      <c r="E31" s="76">
        <f t="shared" ref="E31:M31" si="15">E25/(E24*E26)</f>
        <v>0.46376510461352716</v>
      </c>
      <c r="F31" s="76">
        <f t="shared" si="15"/>
        <v>0.43416307665947224</v>
      </c>
      <c r="G31" s="76">
        <f t="shared" si="15"/>
        <v>0.48843346124190634</v>
      </c>
      <c r="H31" s="76">
        <f t="shared" si="15"/>
        <v>0.32562230749460419</v>
      </c>
      <c r="I31" s="76">
        <f t="shared" si="15"/>
        <v>0.48843346124190634</v>
      </c>
      <c r="J31" s="76">
        <f t="shared" si="15"/>
        <v>0.36509167810001075</v>
      </c>
      <c r="K31" s="76">
        <f t="shared" si="15"/>
        <v>0.37495902075136239</v>
      </c>
      <c r="L31" s="76">
        <f t="shared" si="15"/>
        <v>0.34042332147163168</v>
      </c>
      <c r="M31" s="199">
        <f t="shared" si="15"/>
        <v>8.8806083862164792E-2</v>
      </c>
    </row>
    <row r="32" spans="1:17">
      <c r="A32" s="173"/>
      <c r="B32" s="54"/>
      <c r="C32" s="58" t="s">
        <v>8</v>
      </c>
      <c r="D32" s="69">
        <f>D31*D24</f>
        <v>1.1840811181621971</v>
      </c>
      <c r="E32" s="70">
        <f t="shared" ref="E32:M32" si="16">E31*E24</f>
        <v>1.3912953138405815</v>
      </c>
      <c r="F32" s="70">
        <f t="shared" si="16"/>
        <v>1.3024892299784168</v>
      </c>
      <c r="G32" s="70">
        <f t="shared" si="16"/>
        <v>0.97686692248381268</v>
      </c>
      <c r="H32" s="70">
        <f t="shared" si="16"/>
        <v>0.65124461498920838</v>
      </c>
      <c r="I32" s="70">
        <f t="shared" si="16"/>
        <v>0.97686692248381268</v>
      </c>
      <c r="J32" s="70">
        <f t="shared" si="16"/>
        <v>1.0952750343000321</v>
      </c>
      <c r="K32" s="70">
        <f t="shared" si="16"/>
        <v>1.1248770622540871</v>
      </c>
      <c r="L32" s="70">
        <f t="shared" si="16"/>
        <v>0.68084664294326336</v>
      </c>
      <c r="M32" s="179">
        <f t="shared" si="16"/>
        <v>8.8806083862164792E-2</v>
      </c>
    </row>
    <row r="33" spans="1:19">
      <c r="A33" s="173"/>
      <c r="B33" s="54"/>
      <c r="C33" s="58" t="s">
        <v>9</v>
      </c>
      <c r="D33" s="69">
        <f>(D24*D31)+D27</f>
        <v>1.2732614153359991</v>
      </c>
      <c r="E33" s="70">
        <f t="shared" ref="E33:M33" si="17">(E24*E31)+E27</f>
        <v>1.5638150398232293</v>
      </c>
      <c r="F33" s="70">
        <f t="shared" si="17"/>
        <v>1.4338536409493707</v>
      </c>
      <c r="G33" s="70">
        <f t="shared" si="17"/>
        <v>1.2829326259344884</v>
      </c>
      <c r="H33" s="70">
        <f t="shared" si="17"/>
        <v>0.72848589188777502</v>
      </c>
      <c r="I33" s="70">
        <f t="shared" si="17"/>
        <v>1.2829326259344884</v>
      </c>
      <c r="J33" s="70">
        <f t="shared" si="17"/>
        <v>1.1605166391700807</v>
      </c>
      <c r="K33" s="70">
        <f t="shared" si="17"/>
        <v>1.1974548719580653</v>
      </c>
      <c r="L33" s="70">
        <f t="shared" si="17"/>
        <v>0.77009097496026668</v>
      </c>
      <c r="M33" s="179">
        <f t="shared" si="17"/>
        <v>9.7461234419316742E-2</v>
      </c>
    </row>
    <row r="34" spans="1:19" hidden="1">
      <c r="A34" s="173" t="s">
        <v>12</v>
      </c>
      <c r="B34" s="54"/>
      <c r="C34" s="55" t="s">
        <v>10</v>
      </c>
      <c r="D34" s="148">
        <f>D33/D25</f>
        <v>1.9098921230039987</v>
      </c>
      <c r="E34" s="149">
        <f t="shared" ref="E34:M34" si="18">E33/E25</f>
        <v>1.9963596253062503</v>
      </c>
      <c r="F34" s="149">
        <f t="shared" si="18"/>
        <v>1.9552549649309603</v>
      </c>
      <c r="G34" s="149">
        <f t="shared" si="18"/>
        <v>2.3326047744263425</v>
      </c>
      <c r="H34" s="149">
        <f t="shared" si="18"/>
        <v>1.9867797051484775</v>
      </c>
      <c r="I34" s="149">
        <f t="shared" si="18"/>
        <v>2.3326047744263425</v>
      </c>
      <c r="J34" s="149">
        <f t="shared" si="18"/>
        <v>1.8819188743298605</v>
      </c>
      <c r="K34" s="149">
        <f t="shared" si="18"/>
        <v>1.8907182188811558</v>
      </c>
      <c r="L34" s="149">
        <f t="shared" si="18"/>
        <v>2.0089329781572172</v>
      </c>
      <c r="M34" s="185">
        <f t="shared" si="18"/>
        <v>1.9492246883863347</v>
      </c>
    </row>
    <row r="35" spans="1:19" ht="14.4" thickBot="1">
      <c r="A35" s="186"/>
      <c r="B35" s="187"/>
      <c r="C35" s="188" t="s">
        <v>49</v>
      </c>
      <c r="D35" s="192" t="str">
        <f>TRUNC(D34)&amp;"min "&amp;ROUND((D34-TRUNC(D34))*60,0)&amp;"sec"</f>
        <v>1min 55sec</v>
      </c>
      <c r="E35" s="193" t="str">
        <f t="shared" ref="E35:M35" si="19">TRUNC(E34)&amp;"min "&amp;ROUND((E34-TRUNC(E34))*60,0)&amp;"sec"</f>
        <v>1min 60sec</v>
      </c>
      <c r="F35" s="193" t="str">
        <f t="shared" si="19"/>
        <v>1min 57sec</v>
      </c>
      <c r="G35" s="193" t="str">
        <f t="shared" si="19"/>
        <v>2min 20sec</v>
      </c>
      <c r="H35" s="193" t="str">
        <f t="shared" si="19"/>
        <v>1min 59sec</v>
      </c>
      <c r="I35" s="193" t="str">
        <f t="shared" si="19"/>
        <v>2min 20sec</v>
      </c>
      <c r="J35" s="193" t="str">
        <f t="shared" si="19"/>
        <v>1min 53sec</v>
      </c>
      <c r="K35" s="193" t="str">
        <f t="shared" si="19"/>
        <v>1min 53sec</v>
      </c>
      <c r="L35" s="193" t="str">
        <f t="shared" si="19"/>
        <v>2min 1sec</v>
      </c>
      <c r="M35" s="194" t="str">
        <f t="shared" si="19"/>
        <v>1min 57sec</v>
      </c>
    </row>
    <row r="36" spans="1:19">
      <c r="A36" s="78"/>
      <c r="B36" s="78"/>
      <c r="C36" s="79"/>
      <c r="D36" s="80"/>
      <c r="E36" s="80"/>
      <c r="F36" s="80"/>
      <c r="G36" s="80"/>
      <c r="H36" s="80"/>
      <c r="I36" s="80"/>
      <c r="J36" s="80"/>
      <c r="K36" s="80"/>
      <c r="L36" s="80"/>
      <c r="M36" s="80"/>
    </row>
    <row r="37" spans="1:19">
      <c r="A37" s="78"/>
      <c r="B37" s="78"/>
      <c r="C37" s="79"/>
      <c r="D37" s="80"/>
      <c r="E37" s="80"/>
      <c r="F37" s="80"/>
      <c r="G37" s="80"/>
      <c r="H37" s="80"/>
      <c r="I37" s="80"/>
      <c r="J37" s="80"/>
      <c r="K37" s="80"/>
      <c r="L37" s="80"/>
      <c r="M37" s="80"/>
    </row>
    <row r="38" spans="1:19">
      <c r="A38" s="78"/>
      <c r="B38" s="78"/>
      <c r="C38" s="81" t="s">
        <v>41</v>
      </c>
      <c r="D38" s="80"/>
      <c r="E38" s="80"/>
      <c r="F38" s="80"/>
      <c r="G38" s="80"/>
      <c r="H38" s="80"/>
      <c r="I38" s="80"/>
      <c r="J38" s="80"/>
      <c r="K38" s="80"/>
      <c r="L38" s="80"/>
      <c r="M38" s="80"/>
    </row>
    <row r="39" spans="1:19">
      <c r="A39" s="78"/>
      <c r="B39" s="78"/>
      <c r="C39" s="34" t="s">
        <v>3</v>
      </c>
      <c r="D39" s="122" t="str">
        <f>IF(AND(D45&lt;1,E45&lt;1,F45&lt;1,G45&lt;1,H45&lt;1,I45,1,J45,1,K45&lt;1,L45&lt;1,M45&lt;1),"Status is OK! Number of people in line is unchanged","Attention! Changes result in the number of people in line to increase")</f>
        <v>Status is OK! Number of people in line is unchanged</v>
      </c>
      <c r="F39" s="80"/>
      <c r="G39" s="80"/>
      <c r="H39" s="80"/>
      <c r="I39" s="122" t="str">
        <f>IF(OR((D$51-D$16)&gt;1,(E$51-E$16)&gt;1,(F$51-F$16)&gt;1,(G$51-G$16)&gt;1,(H$51-H$16)&gt;1,(I$51-I$16)&gt;1,(J$51-J$16)&gt;1,(K$51-K$16)&gt;1,(L$51-L$16)&gt;1,(M$51-M$16)&gt;1),"Attention! The line's waiting time increased","")</f>
        <v/>
      </c>
      <c r="J39" s="80"/>
      <c r="K39" s="80"/>
      <c r="L39" s="80"/>
      <c r="M39" s="80"/>
    </row>
    <row r="40" spans="1:19">
      <c r="A40" s="15" t="s">
        <v>1</v>
      </c>
      <c r="B40" s="6" t="s">
        <v>38</v>
      </c>
      <c r="C40" s="82" t="s">
        <v>39</v>
      </c>
      <c r="D40" s="83" t="s">
        <v>36</v>
      </c>
      <c r="E40" s="83" t="s">
        <v>36</v>
      </c>
      <c r="F40" s="83" t="s">
        <v>36</v>
      </c>
      <c r="G40" s="83" t="s">
        <v>36</v>
      </c>
      <c r="H40" s="83" t="s">
        <v>36</v>
      </c>
      <c r="I40" s="83" t="s">
        <v>36</v>
      </c>
      <c r="J40" s="83" t="s">
        <v>36</v>
      </c>
      <c r="K40" s="83" t="s">
        <v>36</v>
      </c>
      <c r="L40" s="83" t="s">
        <v>36</v>
      </c>
      <c r="M40" s="83" t="s">
        <v>36</v>
      </c>
      <c r="N40" s="78"/>
      <c r="O40" s="79"/>
      <c r="P40" s="84"/>
      <c r="Q40" s="78"/>
      <c r="R40" s="85"/>
      <c r="S40" s="85"/>
    </row>
    <row r="41" spans="1:19" ht="14.4" thickBot="1">
      <c r="A41" s="13" t="s">
        <v>2</v>
      </c>
      <c r="B41" s="86">
        <f>1-SUM(B42:B44)</f>
        <v>0.19999999999999996</v>
      </c>
      <c r="C41" s="87">
        <f>1-$B$41*$D$19</f>
        <v>0.93446999505453077</v>
      </c>
      <c r="D41" s="88">
        <f>D$15*$B$41*(1-D$19)/($C$41)</f>
        <v>1.1340746362372698E-2</v>
      </c>
      <c r="E41" s="88">
        <f t="shared" ref="E41:M41" si="20">E$15*$B$41*(1-E$19)/($C$41)</f>
        <v>1.8980755375025464E-2</v>
      </c>
      <c r="F41" s="88">
        <f t="shared" si="20"/>
        <v>1.4046866752168798E-2</v>
      </c>
      <c r="G41" s="88">
        <f t="shared" si="20"/>
        <v>3.7603578423364876E-2</v>
      </c>
      <c r="H41" s="88">
        <f t="shared" si="20"/>
        <v>1.9821439630555823E-2</v>
      </c>
      <c r="I41" s="88">
        <f t="shared" si="20"/>
        <v>5.5972308386265983E-2</v>
      </c>
      <c r="J41" s="88">
        <f t="shared" si="20"/>
        <v>7.4932064168327858E-3</v>
      </c>
      <c r="K41" s="88">
        <f t="shared" si="20"/>
        <v>6.6953062547326489E-3</v>
      </c>
      <c r="L41" s="88">
        <f t="shared" si="20"/>
        <v>1.6573738158822852E-2</v>
      </c>
      <c r="M41" s="88">
        <f t="shared" si="20"/>
        <v>3.2352061931684867E-4</v>
      </c>
      <c r="N41" s="78"/>
      <c r="O41" s="89"/>
      <c r="P41" s="90"/>
      <c r="Q41" s="91"/>
      <c r="R41" s="78"/>
      <c r="S41" s="78"/>
    </row>
    <row r="42" spans="1:19" ht="14.4" thickBot="1">
      <c r="A42" s="1">
        <v>2</v>
      </c>
      <c r="B42" s="92">
        <v>0.8</v>
      </c>
      <c r="C42" s="87">
        <f>$C$41-$B$42*$D$19</f>
        <v>0.67234997527265394</v>
      </c>
      <c r="D42" s="88">
        <f>D$15*$B$42*(1-D$19)/($C$42*$C$41)</f>
        <v>6.7469304852870754E-2</v>
      </c>
      <c r="E42" s="88">
        <f t="shared" ref="E42:M42" si="21">E$15*$B$42*(1-E$19)/($C$42*$C$41)</f>
        <v>0.1129218774334204</v>
      </c>
      <c r="F42" s="88">
        <f t="shared" si="21"/>
        <v>8.3568779765165982E-2</v>
      </c>
      <c r="G42" s="88">
        <f t="shared" si="21"/>
        <v>0.22371431430850128</v>
      </c>
      <c r="H42" s="88">
        <f t="shared" si="21"/>
        <v>0.11792334563568779</v>
      </c>
      <c r="I42" s="88">
        <f t="shared" si="21"/>
        <v>0.33299507961500491</v>
      </c>
      <c r="J42" s="88">
        <f t="shared" si="21"/>
        <v>4.4579202453568112E-2</v>
      </c>
      <c r="K42" s="88">
        <f t="shared" si="21"/>
        <v>3.9832268913329222E-2</v>
      </c>
      <c r="L42" s="88">
        <f t="shared" si="21"/>
        <v>9.8601851823385947E-2</v>
      </c>
      <c r="M42" s="88">
        <f t="shared" si="21"/>
        <v>1.9247155869123278E-3</v>
      </c>
      <c r="N42" s="78"/>
      <c r="O42" s="78"/>
      <c r="P42" s="93"/>
      <c r="Q42" s="91"/>
      <c r="R42" s="78"/>
      <c r="S42" s="78"/>
    </row>
    <row r="43" spans="1:19" ht="14.4" thickBot="1">
      <c r="A43" s="1">
        <v>3</v>
      </c>
      <c r="B43" s="92">
        <v>0</v>
      </c>
      <c r="C43" s="87">
        <f>$C$42-$B$43*$D$19</f>
        <v>0.67234997527265394</v>
      </c>
      <c r="D43" s="88">
        <f>D$15*$B43*(1-D$19)/($C$43*$C$42)</f>
        <v>0</v>
      </c>
      <c r="E43" s="88">
        <f t="shared" ref="E43:M44" si="22">E$15*$B43*(1-E$19)/($C43*$C42)</f>
        <v>0</v>
      </c>
      <c r="F43" s="88">
        <f t="shared" si="22"/>
        <v>0</v>
      </c>
      <c r="G43" s="88">
        <f t="shared" si="22"/>
        <v>0</v>
      </c>
      <c r="H43" s="88">
        <f t="shared" si="22"/>
        <v>0</v>
      </c>
      <c r="I43" s="88">
        <f t="shared" si="22"/>
        <v>0</v>
      </c>
      <c r="J43" s="88">
        <f t="shared" si="22"/>
        <v>0</v>
      </c>
      <c r="K43" s="88">
        <f t="shared" si="22"/>
        <v>0</v>
      </c>
      <c r="L43" s="88">
        <f t="shared" si="22"/>
        <v>0</v>
      </c>
      <c r="M43" s="88">
        <f t="shared" si="22"/>
        <v>0</v>
      </c>
      <c r="N43" s="78"/>
      <c r="O43" s="78"/>
      <c r="P43" s="93"/>
      <c r="Q43" s="91"/>
      <c r="R43" s="78"/>
      <c r="S43" s="78"/>
    </row>
    <row r="44" spans="1:19" ht="14.4" thickBot="1">
      <c r="A44" s="1">
        <v>4</v>
      </c>
      <c r="B44" s="92">
        <v>0</v>
      </c>
      <c r="C44" s="87">
        <f>$C$43-$B$44*$D$19</f>
        <v>0.67234997527265394</v>
      </c>
      <c r="D44" s="94">
        <f>D$15*$B44*(1-D$19)/($C$44*$C$43)</f>
        <v>0</v>
      </c>
      <c r="E44" s="94">
        <f t="shared" si="22"/>
        <v>0</v>
      </c>
      <c r="F44" s="94">
        <f t="shared" si="22"/>
        <v>0</v>
      </c>
      <c r="G44" s="94">
        <f t="shared" si="22"/>
        <v>0</v>
      </c>
      <c r="H44" s="94">
        <f t="shared" si="22"/>
        <v>0</v>
      </c>
      <c r="I44" s="94">
        <f t="shared" si="22"/>
        <v>0</v>
      </c>
      <c r="J44" s="94">
        <f t="shared" si="22"/>
        <v>0</v>
      </c>
      <c r="K44" s="94">
        <f t="shared" si="22"/>
        <v>0</v>
      </c>
      <c r="L44" s="94">
        <f t="shared" si="22"/>
        <v>0</v>
      </c>
      <c r="M44" s="94">
        <f t="shared" si="22"/>
        <v>0</v>
      </c>
      <c r="N44" s="78"/>
      <c r="O44" s="78"/>
      <c r="P44" s="93"/>
      <c r="Q44" s="91"/>
      <c r="R44" s="78"/>
      <c r="S44" s="78"/>
    </row>
    <row r="45" spans="1:19">
      <c r="B45" s="95"/>
      <c r="C45" s="96" t="s">
        <v>42</v>
      </c>
      <c r="D45" s="88">
        <f>SUM(D41:D44)</f>
        <v>7.8810051215243454E-2</v>
      </c>
      <c r="E45" s="88">
        <f t="shared" ref="E45:M45" si="23">SUM(E41:E44)</f>
        <v>0.13190263280844586</v>
      </c>
      <c r="F45" s="88">
        <f t="shared" si="23"/>
        <v>9.7615646517334786E-2</v>
      </c>
      <c r="G45" s="88">
        <f t="shared" si="23"/>
        <v>0.26131789273186617</v>
      </c>
      <c r="H45" s="88">
        <f t="shared" si="23"/>
        <v>0.13774478526624362</v>
      </c>
      <c r="I45" s="88">
        <f t="shared" si="23"/>
        <v>0.3889673880012709</v>
      </c>
      <c r="J45" s="88">
        <f t="shared" si="23"/>
        <v>5.2072408870400898E-2</v>
      </c>
      <c r="K45" s="88">
        <f t="shared" si="23"/>
        <v>4.6527575168061872E-2</v>
      </c>
      <c r="L45" s="88">
        <f t="shared" si="23"/>
        <v>0.1151755899822088</v>
      </c>
      <c r="M45" s="88">
        <f t="shared" si="23"/>
        <v>2.2482362062291763E-3</v>
      </c>
      <c r="N45" s="78"/>
      <c r="O45" s="78"/>
      <c r="P45" s="93"/>
      <c r="Q45" s="91"/>
      <c r="R45" s="78"/>
      <c r="S45" s="78"/>
    </row>
    <row r="46" spans="1:19">
      <c r="C46" s="126" t="s">
        <v>40</v>
      </c>
      <c r="D46" s="127" t="s">
        <v>37</v>
      </c>
      <c r="E46" s="127" t="s">
        <v>37</v>
      </c>
      <c r="F46" s="127" t="s">
        <v>37</v>
      </c>
      <c r="G46" s="127" t="s">
        <v>37</v>
      </c>
      <c r="H46" s="127" t="s">
        <v>37</v>
      </c>
      <c r="I46" s="127" t="s">
        <v>37</v>
      </c>
      <c r="J46" s="127" t="s">
        <v>37</v>
      </c>
      <c r="K46" s="127" t="s">
        <v>37</v>
      </c>
      <c r="L46" s="127" t="s">
        <v>37</v>
      </c>
      <c r="M46" s="127" t="s">
        <v>37</v>
      </c>
      <c r="N46" s="78"/>
      <c r="O46" s="78"/>
      <c r="P46" s="78"/>
      <c r="Q46" s="78"/>
      <c r="R46" s="78"/>
      <c r="S46" s="78"/>
    </row>
    <row r="47" spans="1:19" ht="14.4" thickBot="1">
      <c r="A47" s="13" t="s">
        <v>2</v>
      </c>
      <c r="B47" s="97">
        <f>1-SUM(B48:B50)</f>
        <v>0.19999999999999996</v>
      </c>
      <c r="C47" s="98"/>
      <c r="D47" s="88">
        <f>D$41/(IF($B$41&gt;0,$B$41,1)*D$13)</f>
        <v>0.15588868219909902</v>
      </c>
      <c r="E47" s="88">
        <f t="shared" ref="E47:M47" si="24">E$41/(IF($B$41&gt;0,$B$41,1)*E$13)</f>
        <v>0.2161274579977949</v>
      </c>
      <c r="F47" s="88">
        <f t="shared" si="24"/>
        <v>0.17861010915878264</v>
      </c>
      <c r="G47" s="88">
        <f t="shared" si="24"/>
        <v>0.80809059796785832</v>
      </c>
      <c r="H47" s="88">
        <f t="shared" si="24"/>
        <v>0.5866959135931028</v>
      </c>
      <c r="I47" s="88">
        <f t="shared" si="24"/>
        <v>0.98589820385633431</v>
      </c>
      <c r="J47" s="88">
        <f t="shared" si="24"/>
        <v>0.11964343579039628</v>
      </c>
      <c r="K47" s="88">
        <f t="shared" si="24"/>
        <v>0.11131633099200815</v>
      </c>
      <c r="L47" s="88">
        <f t="shared" si="24"/>
        <v>0.53648267669905658</v>
      </c>
      <c r="M47" s="88">
        <f t="shared" si="24"/>
        <v>7.4954282099151087E-2</v>
      </c>
    </row>
    <row r="48" spans="1:19" ht="14.4" thickBot="1">
      <c r="A48" s="1">
        <v>2</v>
      </c>
      <c r="B48" s="99">
        <f>$B$42</f>
        <v>0.8</v>
      </c>
      <c r="C48" s="98"/>
      <c r="D48" s="88">
        <f>D$42/(IF($B$42&gt;0,$B$42,1)*D$13)</f>
        <v>0.2318564556143286</v>
      </c>
      <c r="E48" s="88">
        <f t="shared" ref="E48:M48" si="25">E$42/(IF($B$42&gt;0,$B$42,1)*E$13)</f>
        <v>0.32145083058886115</v>
      </c>
      <c r="F48" s="88">
        <f t="shared" si="25"/>
        <v>0.26565050305289595</v>
      </c>
      <c r="G48" s="88">
        <f t="shared" si="25"/>
        <v>1.2018898307241828</v>
      </c>
      <c r="H48" s="88">
        <f t="shared" si="25"/>
        <v>0.87260494559426982</v>
      </c>
      <c r="I48" s="88">
        <f t="shared" si="25"/>
        <v>1.4663467540941444</v>
      </c>
      <c r="J48" s="88">
        <f t="shared" si="25"/>
        <v>0.17794815228762079</v>
      </c>
      <c r="K48" s="88">
        <f t="shared" si="25"/>
        <v>0.16556307739413054</v>
      </c>
      <c r="L48" s="88">
        <f t="shared" si="25"/>
        <v>0.79792176162645079</v>
      </c>
      <c r="M48" s="88">
        <f t="shared" si="25"/>
        <v>0.11148105132115958</v>
      </c>
    </row>
    <row r="49" spans="1:13" ht="14.4" thickBot="1">
      <c r="A49" s="1">
        <v>3</v>
      </c>
      <c r="B49" s="99">
        <f>$B$43</f>
        <v>0</v>
      </c>
      <c r="C49" s="98"/>
      <c r="D49" s="88">
        <f>D$43/(IF($B$43&gt;0,$B$43,1)*D$13)</f>
        <v>0</v>
      </c>
      <c r="E49" s="88">
        <f t="shared" ref="E49:M49" si="26">E$43/(IF($B$43&gt;0,$B$43,1)*E$13)</f>
        <v>0</v>
      </c>
      <c r="F49" s="88">
        <f t="shared" si="26"/>
        <v>0</v>
      </c>
      <c r="G49" s="88">
        <f t="shared" si="26"/>
        <v>0</v>
      </c>
      <c r="H49" s="88">
        <f t="shared" si="26"/>
        <v>0</v>
      </c>
      <c r="I49" s="88">
        <f t="shared" si="26"/>
        <v>0</v>
      </c>
      <c r="J49" s="88">
        <f t="shared" si="26"/>
        <v>0</v>
      </c>
      <c r="K49" s="88">
        <f t="shared" si="26"/>
        <v>0</v>
      </c>
      <c r="L49" s="88">
        <f t="shared" si="26"/>
        <v>0</v>
      </c>
      <c r="M49" s="88">
        <f t="shared" si="26"/>
        <v>0</v>
      </c>
    </row>
    <row r="50" spans="1:13" ht="14.4" thickBot="1">
      <c r="A50" s="1">
        <v>4</v>
      </c>
      <c r="B50" s="99">
        <f>$B$44</f>
        <v>0</v>
      </c>
      <c r="C50" s="98"/>
      <c r="D50" s="94">
        <f>D$44/(IF($B$44&gt;0,$B$44,1)*D$13)</f>
        <v>0</v>
      </c>
      <c r="E50" s="94">
        <f t="shared" ref="E50:M50" si="27">E$44/(IF($B$44&gt;0,$B$44,1)*E$13)</f>
        <v>0</v>
      </c>
      <c r="F50" s="94">
        <f t="shared" si="27"/>
        <v>0</v>
      </c>
      <c r="G50" s="94">
        <f t="shared" si="27"/>
        <v>0</v>
      </c>
      <c r="H50" s="94">
        <f t="shared" si="27"/>
        <v>0</v>
      </c>
      <c r="I50" s="94">
        <f t="shared" si="27"/>
        <v>0</v>
      </c>
      <c r="J50" s="94">
        <f t="shared" si="27"/>
        <v>0</v>
      </c>
      <c r="K50" s="94">
        <f t="shared" si="27"/>
        <v>0</v>
      </c>
      <c r="L50" s="94">
        <f t="shared" si="27"/>
        <v>0</v>
      </c>
      <c r="M50" s="94">
        <f t="shared" si="27"/>
        <v>0</v>
      </c>
    </row>
    <row r="51" spans="1:13" hidden="1">
      <c r="B51" s="100"/>
      <c r="C51" s="96" t="s">
        <v>42</v>
      </c>
      <c r="D51" s="88">
        <f>SUM(D47:D50)</f>
        <v>0.38774513781342762</v>
      </c>
      <c r="E51" s="88">
        <f t="shared" ref="E51:M51" si="28">SUM(E47:E50)</f>
        <v>0.53757828858665602</v>
      </c>
      <c r="F51" s="88">
        <f t="shared" si="28"/>
        <v>0.44426061221167856</v>
      </c>
      <c r="G51" s="88">
        <f t="shared" si="28"/>
        <v>2.0099804286920411</v>
      </c>
      <c r="H51" s="88">
        <f t="shared" si="28"/>
        <v>1.4593008591873726</v>
      </c>
      <c r="I51" s="88">
        <f t="shared" si="28"/>
        <v>2.4522449579504788</v>
      </c>
      <c r="J51" s="88">
        <f t="shared" si="28"/>
        <v>0.29759158807801706</v>
      </c>
      <c r="K51" s="88">
        <f t="shared" si="28"/>
        <v>0.27687940838613867</v>
      </c>
      <c r="L51" s="88">
        <f t="shared" si="28"/>
        <v>1.3344044383255074</v>
      </c>
      <c r="M51" s="88">
        <f t="shared" si="28"/>
        <v>0.18643533342031066</v>
      </c>
    </row>
    <row r="52" spans="1:13">
      <c r="B52" s="100"/>
      <c r="C52" s="101" t="s">
        <v>24</v>
      </c>
      <c r="D52" s="119" t="str">
        <f>TRUNC(D51)&amp;"min "&amp;ROUND((D51-TRUNC(D51))*60,0)&amp;"sec"</f>
        <v>0min 23sec</v>
      </c>
      <c r="E52" s="119" t="str">
        <f t="shared" ref="E52:M52" si="29">TRUNC(E51)&amp;"min "&amp;ROUND((E51-TRUNC(E51))*60,0)&amp;"sec"</f>
        <v>0min 32sec</v>
      </c>
      <c r="F52" s="119" t="str">
        <f t="shared" si="29"/>
        <v>0min 27sec</v>
      </c>
      <c r="G52" s="119" t="str">
        <f t="shared" si="29"/>
        <v>2min 1sec</v>
      </c>
      <c r="H52" s="119" t="str">
        <f t="shared" si="29"/>
        <v>1min 28sec</v>
      </c>
      <c r="I52" s="119" t="str">
        <f t="shared" si="29"/>
        <v>2min 27sec</v>
      </c>
      <c r="J52" s="119" t="str">
        <f t="shared" si="29"/>
        <v>0min 18sec</v>
      </c>
      <c r="K52" s="119" t="str">
        <f t="shared" si="29"/>
        <v>0min 17sec</v>
      </c>
      <c r="L52" s="119" t="str">
        <f t="shared" si="29"/>
        <v>1min 20sec</v>
      </c>
      <c r="M52" s="119" t="str">
        <f t="shared" si="29"/>
        <v>0min 11sec</v>
      </c>
    </row>
    <row r="53" spans="1:13" ht="27.6">
      <c r="B53" s="100"/>
      <c r="C53" s="102" t="s">
        <v>44</v>
      </c>
      <c r="D53" s="116" t="str">
        <f>TRUNC(D51-D16)&amp;"min "&amp;ROUND(((D51-D16)-TRUNC(D51-D16))*60,0)&amp;"sec"</f>
        <v>0min 10sec</v>
      </c>
      <c r="E53" s="116" t="str">
        <f t="shared" ref="E53:M53" si="30">TRUNC(E51-E16)&amp;"min "&amp;ROUND(((E51-E16)-TRUNC(E51-E16))*60,0)&amp;"sec"</f>
        <v>0min 12sec</v>
      </c>
      <c r="F53" s="116" t="str">
        <f t="shared" si="30"/>
        <v>0min 11sec</v>
      </c>
      <c r="G53" s="116" t="str">
        <f t="shared" si="30"/>
        <v>0min 43sec</v>
      </c>
      <c r="H53" s="116" t="str">
        <f t="shared" si="30"/>
        <v>0min 40sec</v>
      </c>
      <c r="I53" s="116" t="str">
        <f t="shared" si="30"/>
        <v>0min 34sec</v>
      </c>
      <c r="J53" s="116" t="str">
        <f t="shared" si="30"/>
        <v>0min 9sec</v>
      </c>
      <c r="K53" s="116" t="str">
        <f t="shared" si="30"/>
        <v>0min 8sec</v>
      </c>
      <c r="L53" s="116" t="str">
        <f t="shared" si="30"/>
        <v>0min 38sec</v>
      </c>
      <c r="M53" s="116" t="str">
        <f t="shared" si="30"/>
        <v>0min 7sec</v>
      </c>
    </row>
    <row r="54" spans="1:13">
      <c r="B54" s="103"/>
      <c r="C54" s="104" t="s">
        <v>11</v>
      </c>
      <c r="D54" s="122" t="str">
        <f>IF(AND(D60&lt;1,E60&lt;1,F60&lt;1,G60&lt;1,H60&lt;1,I60,1,J60,1,K60&lt;1,L60&lt;1,M60&lt;1),"Status is OK! Number of people in line is unchanged","Attention! Changes result in the number of people in line to increase")</f>
        <v>Status is OK! Number of people in line is unchanged</v>
      </c>
      <c r="F54" s="80"/>
      <c r="G54" s="80"/>
      <c r="H54" s="80"/>
      <c r="I54" s="122" t="str">
        <f>IF(OR((D$66-D$28)&gt;1,(E$66-E$28)&gt;1,(F$66-F$28)&gt;1,(G$66-G$28)&gt;1,(H$66-H$28)&gt;1,(I$66-I$28)&gt;1,(J$66-J$28)&gt;1,(K$66-K$28)&gt;1,(L$66-L$28)&gt;1,(M$66-M$28)&gt;1),"Attention! The line's waiting time increased","")</f>
        <v/>
      </c>
    </row>
    <row r="55" spans="1:13">
      <c r="B55" s="103"/>
      <c r="C55" s="105" t="s">
        <v>39</v>
      </c>
      <c r="D55" s="65" t="s">
        <v>36</v>
      </c>
      <c r="E55" s="65" t="s">
        <v>36</v>
      </c>
      <c r="F55" s="65" t="s">
        <v>36</v>
      </c>
      <c r="G55" s="65" t="s">
        <v>36</v>
      </c>
      <c r="H55" s="65" t="s">
        <v>36</v>
      </c>
      <c r="I55" s="65" t="s">
        <v>36</v>
      </c>
      <c r="J55" s="65" t="s">
        <v>36</v>
      </c>
      <c r="K55" s="65" t="s">
        <v>36</v>
      </c>
      <c r="L55" s="65" t="s">
        <v>36</v>
      </c>
      <c r="M55" s="65" t="s">
        <v>36</v>
      </c>
    </row>
    <row r="56" spans="1:13" ht="14.4" thickBot="1">
      <c r="A56" s="13" t="s">
        <v>2</v>
      </c>
      <c r="B56" s="97">
        <f>1-SUM(B57:B59)</f>
        <v>0.19999999999999996</v>
      </c>
      <c r="C56" s="106">
        <f>1-$B$41*$D$31</f>
        <v>0.92106125878918688</v>
      </c>
      <c r="D56" s="107">
        <f>D$27*$B$41*(1-D$31)/($C$56)</f>
        <v>1.1721564588708103E-2</v>
      </c>
      <c r="E56" s="107">
        <f t="shared" ref="E56:M56" si="31">E$27*$B$41*(1-E$31)/($C$56)</f>
        <v>2.008793580918208E-2</v>
      </c>
      <c r="F56" s="107">
        <f t="shared" si="31"/>
        <v>1.6140258518300813E-2</v>
      </c>
      <c r="G56" s="107">
        <f t="shared" si="31"/>
        <v>3.3998384157998718E-2</v>
      </c>
      <c r="H56" s="107">
        <f t="shared" si="31"/>
        <v>1.13108207698372E-2</v>
      </c>
      <c r="I56" s="107">
        <f t="shared" si="31"/>
        <v>3.3998384157998718E-2</v>
      </c>
      <c r="J56" s="107">
        <f t="shared" si="31"/>
        <v>8.9945022593954458E-3</v>
      </c>
      <c r="K56" s="107">
        <f t="shared" si="31"/>
        <v>9.8503991599279261E-3</v>
      </c>
      <c r="L56" s="107">
        <f t="shared" si="31"/>
        <v>1.2781664526122619E-2</v>
      </c>
      <c r="M56" s="107">
        <f t="shared" si="31"/>
        <v>1.7124855606892736E-3</v>
      </c>
    </row>
    <row r="57" spans="1:13" ht="14.4" thickBot="1">
      <c r="A57" s="1">
        <v>2</v>
      </c>
      <c r="B57" s="99">
        <f>$B$42</f>
        <v>0.8</v>
      </c>
      <c r="C57" s="106">
        <f>$C$56-$B$42*$D$31</f>
        <v>0.60530629394593438</v>
      </c>
      <c r="D57" s="107">
        <f>D$27*$B$42*(1-D$31)/($C$57*$C$56)</f>
        <v>7.745873258509399E-2</v>
      </c>
      <c r="E57" s="107">
        <f t="shared" ref="E57:M57" si="32">E$27*$B$42*(1-E$31)/($C$57*$C$56)</f>
        <v>0.13274559349601828</v>
      </c>
      <c r="F57" s="107">
        <f t="shared" si="32"/>
        <v>0.1066584549325202</v>
      </c>
      <c r="G57" s="107">
        <f t="shared" si="32"/>
        <v>0.22466896180025808</v>
      </c>
      <c r="H57" s="107">
        <f t="shared" si="32"/>
        <v>7.474444513770398E-2</v>
      </c>
      <c r="I57" s="107">
        <f t="shared" si="32"/>
        <v>0.22466896180025808</v>
      </c>
      <c r="J57" s="107">
        <f t="shared" si="32"/>
        <v>5.9437691954340274E-2</v>
      </c>
      <c r="K57" s="107">
        <f t="shared" si="32"/>
        <v>6.5093650989247825E-2</v>
      </c>
      <c r="L57" s="107">
        <f t="shared" si="32"/>
        <v>8.4464111171223183E-2</v>
      </c>
      <c r="M57" s="107">
        <f t="shared" si="32"/>
        <v>1.1316489372847871E-2</v>
      </c>
    </row>
    <row r="58" spans="1:13" ht="14.4" thickBot="1">
      <c r="A58" s="1">
        <v>3</v>
      </c>
      <c r="B58" s="99">
        <f>$B$43</f>
        <v>0</v>
      </c>
      <c r="C58" s="106">
        <f>$C$57-$B$43*$D$31</f>
        <v>0.60530629394593438</v>
      </c>
      <c r="D58" s="107">
        <f>D$27*$B$43*(1-D$31)/($C$58*$C$57)</f>
        <v>0</v>
      </c>
      <c r="E58" s="107">
        <f t="shared" ref="E58:M58" si="33">E$27*$B$43*(1-E$31)/($C$58*$C$57)</f>
        <v>0</v>
      </c>
      <c r="F58" s="107">
        <f t="shared" si="33"/>
        <v>0</v>
      </c>
      <c r="G58" s="107">
        <f t="shared" si="33"/>
        <v>0</v>
      </c>
      <c r="H58" s="107">
        <f t="shared" si="33"/>
        <v>0</v>
      </c>
      <c r="I58" s="107">
        <f t="shared" si="33"/>
        <v>0</v>
      </c>
      <c r="J58" s="107">
        <f t="shared" si="33"/>
        <v>0</v>
      </c>
      <c r="K58" s="107">
        <f t="shared" si="33"/>
        <v>0</v>
      </c>
      <c r="L58" s="107">
        <f t="shared" si="33"/>
        <v>0</v>
      </c>
      <c r="M58" s="107">
        <f t="shared" si="33"/>
        <v>0</v>
      </c>
    </row>
    <row r="59" spans="1:13" ht="14.4" thickBot="1">
      <c r="A59" s="1">
        <v>4</v>
      </c>
      <c r="B59" s="99">
        <f>$B$44</f>
        <v>0</v>
      </c>
      <c r="C59" s="106">
        <f>$C$58-$B$44*$D$31</f>
        <v>0.60530629394593438</v>
      </c>
      <c r="D59" s="108">
        <f>D$27*$B$44*(1-D$31)/($C$59*$C$58)</f>
        <v>0</v>
      </c>
      <c r="E59" s="108">
        <f t="shared" ref="E59:M59" si="34">E$27*$B$44*(1-E$31)/($C$59*$C$58)</f>
        <v>0</v>
      </c>
      <c r="F59" s="108">
        <f t="shared" si="34"/>
        <v>0</v>
      </c>
      <c r="G59" s="108">
        <f t="shared" si="34"/>
        <v>0</v>
      </c>
      <c r="H59" s="108">
        <f t="shared" si="34"/>
        <v>0</v>
      </c>
      <c r="I59" s="108">
        <f t="shared" si="34"/>
        <v>0</v>
      </c>
      <c r="J59" s="108">
        <f t="shared" si="34"/>
        <v>0</v>
      </c>
      <c r="K59" s="108">
        <f t="shared" si="34"/>
        <v>0</v>
      </c>
      <c r="L59" s="108">
        <f t="shared" si="34"/>
        <v>0</v>
      </c>
      <c r="M59" s="108">
        <f t="shared" si="34"/>
        <v>0</v>
      </c>
    </row>
    <row r="60" spans="1:13">
      <c r="B60" s="100"/>
      <c r="C60" s="55" t="s">
        <v>42</v>
      </c>
      <c r="D60" s="107">
        <f>SUM(D56:D59)</f>
        <v>8.9180297173802089E-2</v>
      </c>
      <c r="E60" s="107">
        <f t="shared" ref="E60:M60" si="35">SUM(E56:E59)</f>
        <v>0.15283352930520036</v>
      </c>
      <c r="F60" s="107">
        <f t="shared" si="35"/>
        <v>0.12279871345082101</v>
      </c>
      <c r="G60" s="107">
        <f t="shared" si="35"/>
        <v>0.2586673459582568</v>
      </c>
      <c r="H60" s="107">
        <f t="shared" si="35"/>
        <v>8.6055265907541173E-2</v>
      </c>
      <c r="I60" s="107">
        <f t="shared" si="35"/>
        <v>0.2586673459582568</v>
      </c>
      <c r="J60" s="107">
        <f t="shared" si="35"/>
        <v>6.8432194213735725E-2</v>
      </c>
      <c r="K60" s="107">
        <f t="shared" si="35"/>
        <v>7.4944050149175753E-2</v>
      </c>
      <c r="L60" s="107">
        <f t="shared" si="35"/>
        <v>9.7245775697345799E-2</v>
      </c>
      <c r="M60" s="107">
        <f t="shared" si="35"/>
        <v>1.3028974933537146E-2</v>
      </c>
    </row>
    <row r="61" spans="1:13">
      <c r="B61" s="103"/>
      <c r="C61" s="124" t="s">
        <v>40</v>
      </c>
      <c r="D61" s="125" t="s">
        <v>37</v>
      </c>
      <c r="E61" s="125" t="s">
        <v>37</v>
      </c>
      <c r="F61" s="125" t="s">
        <v>37</v>
      </c>
      <c r="G61" s="125" t="s">
        <v>37</v>
      </c>
      <c r="H61" s="125" t="s">
        <v>37</v>
      </c>
      <c r="I61" s="125" t="s">
        <v>37</v>
      </c>
      <c r="J61" s="125" t="s">
        <v>37</v>
      </c>
      <c r="K61" s="125" t="s">
        <v>37</v>
      </c>
      <c r="L61" s="125" t="s">
        <v>37</v>
      </c>
      <c r="M61" s="125" t="s">
        <v>37</v>
      </c>
    </row>
    <row r="62" spans="1:13" ht="14.4" thickBot="1">
      <c r="A62" s="13" t="s">
        <v>2</v>
      </c>
      <c r="B62" s="97">
        <f>1-SUM(B63:B65)</f>
        <v>0.19999999999999996</v>
      </c>
      <c r="C62" s="109"/>
      <c r="D62" s="107">
        <f>D$56/(IF($B$41&gt;0,$B$41,1)*D$25)</f>
        <v>8.7911734415310791E-2</v>
      </c>
      <c r="E62" s="107">
        <f t="shared" ref="E62:M62" si="36">E$56/(IF($B$41&gt;0,$B$41,1)*E$25)</f>
        <v>0.1282208668671197</v>
      </c>
      <c r="F62" s="107">
        <f t="shared" si="36"/>
        <v>0.11004721717023286</v>
      </c>
      <c r="G62" s="107">
        <f t="shared" si="36"/>
        <v>0.30907621961817022</v>
      </c>
      <c r="H62" s="107">
        <f t="shared" si="36"/>
        <v>0.1542384650432346</v>
      </c>
      <c r="I62" s="107">
        <f t="shared" si="36"/>
        <v>0.30907621961817022</v>
      </c>
      <c r="J62" s="107">
        <f t="shared" si="36"/>
        <v>7.2928396697800921E-2</v>
      </c>
      <c r="K62" s="107">
        <f t="shared" si="36"/>
        <v>7.7766309157325755E-2</v>
      </c>
      <c r="L62" s="107">
        <f t="shared" si="36"/>
        <v>0.16671736338420809</v>
      </c>
      <c r="M62" s="107">
        <f t="shared" si="36"/>
        <v>0.17124855606892739</v>
      </c>
    </row>
    <row r="63" spans="1:13" ht="14.4" thickBot="1">
      <c r="A63" s="1">
        <v>2</v>
      </c>
      <c r="B63" s="99">
        <f>$B$42</f>
        <v>0.8</v>
      </c>
      <c r="C63" s="109"/>
      <c r="D63" s="107">
        <f>D$57/(IF($B$42&gt;0,$B$42,1)*D$25)</f>
        <v>0.14523512359705124</v>
      </c>
      <c r="E63" s="107">
        <f t="shared" ref="E63:M63" si="37">E$57/(IF($B$42&gt;0,$B$42,1)*E$25)</f>
        <v>0.21182807472768872</v>
      </c>
      <c r="F63" s="107">
        <f t="shared" si="37"/>
        <v>0.18180418454406852</v>
      </c>
      <c r="G63" s="107">
        <f t="shared" si="37"/>
        <v>0.51061127681876828</v>
      </c>
      <c r="H63" s="107">
        <f t="shared" si="37"/>
        <v>0.25481060842399084</v>
      </c>
      <c r="I63" s="107">
        <f t="shared" si="37"/>
        <v>0.51061127681876828</v>
      </c>
      <c r="J63" s="107">
        <f t="shared" si="37"/>
        <v>0.1204818080155546</v>
      </c>
      <c r="K63" s="107">
        <f t="shared" si="37"/>
        <v>0.12847431116298913</v>
      </c>
      <c r="L63" s="107">
        <f t="shared" si="37"/>
        <v>0.2754264494713799</v>
      </c>
      <c r="M63" s="107">
        <f t="shared" si="37"/>
        <v>0.28291223432119672</v>
      </c>
    </row>
    <row r="64" spans="1:13" ht="14.4" thickBot="1">
      <c r="A64" s="1">
        <v>3</v>
      </c>
      <c r="B64" s="99">
        <f>$B$43</f>
        <v>0</v>
      </c>
      <c r="C64" s="109"/>
      <c r="D64" s="107">
        <f>D$58/(IF($B$43&gt;0,$B$43,1)*D$25)</f>
        <v>0</v>
      </c>
      <c r="E64" s="107">
        <f t="shared" ref="E64:M64" si="38">E$58/(IF($B$43&gt;0,$B$43,1)*E$25)</f>
        <v>0</v>
      </c>
      <c r="F64" s="107">
        <f t="shared" si="38"/>
        <v>0</v>
      </c>
      <c r="G64" s="107">
        <f t="shared" si="38"/>
        <v>0</v>
      </c>
      <c r="H64" s="107">
        <f t="shared" si="38"/>
        <v>0</v>
      </c>
      <c r="I64" s="107">
        <f t="shared" si="38"/>
        <v>0</v>
      </c>
      <c r="J64" s="107">
        <f t="shared" si="38"/>
        <v>0</v>
      </c>
      <c r="K64" s="107">
        <f t="shared" si="38"/>
        <v>0</v>
      </c>
      <c r="L64" s="107">
        <f t="shared" si="38"/>
        <v>0</v>
      </c>
      <c r="M64" s="107">
        <f t="shared" si="38"/>
        <v>0</v>
      </c>
    </row>
    <row r="65" spans="1:13" ht="14.4" thickBot="1">
      <c r="A65" s="1">
        <v>4</v>
      </c>
      <c r="B65" s="99">
        <f>$B$44</f>
        <v>0</v>
      </c>
      <c r="C65" s="54"/>
      <c r="D65" s="108">
        <f>D$59/(IF($B$44&gt;0,$B$44,1)*D$25)</f>
        <v>0</v>
      </c>
      <c r="E65" s="108">
        <f t="shared" ref="E65:M65" si="39">E$59/(IF($B$44&gt;0,$B$44,1)*E$25)</f>
        <v>0</v>
      </c>
      <c r="F65" s="108">
        <f t="shared" si="39"/>
        <v>0</v>
      </c>
      <c r="G65" s="108">
        <f t="shared" si="39"/>
        <v>0</v>
      </c>
      <c r="H65" s="108">
        <f t="shared" si="39"/>
        <v>0</v>
      </c>
      <c r="I65" s="108">
        <f t="shared" si="39"/>
        <v>0</v>
      </c>
      <c r="J65" s="108">
        <f t="shared" si="39"/>
        <v>0</v>
      </c>
      <c r="K65" s="108">
        <f t="shared" si="39"/>
        <v>0</v>
      </c>
      <c r="L65" s="108">
        <f t="shared" si="39"/>
        <v>0</v>
      </c>
      <c r="M65" s="108">
        <f t="shared" si="39"/>
        <v>0</v>
      </c>
    </row>
    <row r="66" spans="1:13" hidden="1">
      <c r="B66" s="100"/>
      <c r="C66" s="55" t="s">
        <v>42</v>
      </c>
      <c r="D66" s="107">
        <f>SUM(D62:D65)</f>
        <v>0.23314685801236201</v>
      </c>
      <c r="E66" s="107">
        <f t="shared" ref="E66:M66" si="40">SUM(E62:E65)</f>
        <v>0.34004894159480842</v>
      </c>
      <c r="F66" s="107">
        <f t="shared" si="40"/>
        <v>0.29185140171430135</v>
      </c>
      <c r="G66" s="107">
        <f t="shared" si="40"/>
        <v>0.8196874964369385</v>
      </c>
      <c r="H66" s="107">
        <f t="shared" si="40"/>
        <v>0.40904907346722541</v>
      </c>
      <c r="I66" s="107">
        <f t="shared" si="40"/>
        <v>0.8196874964369385</v>
      </c>
      <c r="J66" s="107">
        <f t="shared" si="40"/>
        <v>0.19341020471335552</v>
      </c>
      <c r="K66" s="107">
        <f t="shared" si="40"/>
        <v>0.20624062032031487</v>
      </c>
      <c r="L66" s="107">
        <f t="shared" si="40"/>
        <v>0.44214381285558801</v>
      </c>
      <c r="M66" s="107">
        <f t="shared" si="40"/>
        <v>0.45416079039012414</v>
      </c>
    </row>
    <row r="67" spans="1:13">
      <c r="B67" s="100"/>
      <c r="C67" s="110" t="s">
        <v>24</v>
      </c>
      <c r="D67" s="120" t="str">
        <f>TRUNC(D66)&amp;"min "&amp;ROUND((D66-TRUNC(D66))*60,0)&amp;"sec"</f>
        <v>0min 14sec</v>
      </c>
      <c r="E67" s="120" t="str">
        <f t="shared" ref="E67:M67" si="41">TRUNC(E66)&amp;"min "&amp;ROUND((E66-TRUNC(E66))*60,0)&amp;"sec"</f>
        <v>0min 20sec</v>
      </c>
      <c r="F67" s="120" t="str">
        <f t="shared" si="41"/>
        <v>0min 18sec</v>
      </c>
      <c r="G67" s="120" t="str">
        <f t="shared" si="41"/>
        <v>0min 49sec</v>
      </c>
      <c r="H67" s="120" t="str">
        <f t="shared" si="41"/>
        <v>0min 25sec</v>
      </c>
      <c r="I67" s="120" t="str">
        <f t="shared" si="41"/>
        <v>0min 49sec</v>
      </c>
      <c r="J67" s="120" t="str">
        <f t="shared" si="41"/>
        <v>0min 12sec</v>
      </c>
      <c r="K67" s="120" t="str">
        <f t="shared" si="41"/>
        <v>0min 12sec</v>
      </c>
      <c r="L67" s="120" t="str">
        <f t="shared" si="41"/>
        <v>0min 27sec</v>
      </c>
      <c r="M67" s="120" t="str">
        <f t="shared" si="41"/>
        <v>0min 27sec</v>
      </c>
    </row>
    <row r="68" spans="1:13" ht="27.6">
      <c r="B68" s="100"/>
      <c r="C68" s="111" t="s">
        <v>43</v>
      </c>
      <c r="D68" s="123" t="str">
        <f>TRUNC(D66-D28)&amp;"min "&amp;ROUND(((D66-D28)-TRUNC(D66-D28))*60,0)&amp;"sec"</f>
        <v>0min 6sec</v>
      </c>
      <c r="E68" s="123" t="str">
        <f t="shared" ref="E68:M68" si="42">TRUNC(E66-E28)&amp;"min "&amp;ROUND(((E66-E28)-TRUNC(E66-E28))*60,0)&amp;"sec"</f>
        <v>0min 7sec</v>
      </c>
      <c r="F68" s="123" t="str">
        <f t="shared" si="42"/>
        <v>0min 7sec</v>
      </c>
      <c r="G68" s="123" t="str">
        <f t="shared" si="42"/>
        <v>0min 16sec</v>
      </c>
      <c r="H68" s="123" t="str">
        <f t="shared" si="42"/>
        <v>0min 12sec</v>
      </c>
      <c r="I68" s="123" t="str">
        <f t="shared" si="42"/>
        <v>0min 16sec</v>
      </c>
      <c r="J68" s="123" t="str">
        <f t="shared" si="42"/>
        <v>0min 5sec</v>
      </c>
      <c r="K68" s="123" t="str">
        <f t="shared" si="42"/>
        <v>0min 5sec</v>
      </c>
      <c r="L68" s="123" t="str">
        <f t="shared" si="42"/>
        <v>0min 13sec</v>
      </c>
      <c r="M68" s="123" t="str">
        <f t="shared" si="42"/>
        <v>0min 17sec</v>
      </c>
    </row>
  </sheetData>
  <mergeCells count="1">
    <mergeCell ref="D5:E5"/>
  </mergeCells>
  <conditionalFormatting sqref="D31:M31">
    <cfRule type="cellIs" dxfId="64" priority="20" operator="greaterThanOrEqual">
      <formula>0.49</formula>
    </cfRule>
    <cfRule type="cellIs" dxfId="63" priority="24" operator="greaterThan">
      <formula>1</formula>
    </cfRule>
  </conditionalFormatting>
  <conditionalFormatting sqref="D15:M15">
    <cfRule type="cellIs" dxfId="62" priority="23" stopIfTrue="1" operator="greaterThan">
      <formula>3</formula>
    </cfRule>
  </conditionalFormatting>
  <conditionalFormatting sqref="D27:M27">
    <cfRule type="cellIs" dxfId="61" priority="22" stopIfTrue="1" operator="greaterThan">
      <formula>5</formula>
    </cfRule>
  </conditionalFormatting>
  <conditionalFormatting sqref="D22:M22">
    <cfRule type="cellIs" dxfId="60" priority="19" stopIfTrue="1" operator="greaterThan">
      <formula>5</formula>
    </cfRule>
  </conditionalFormatting>
  <conditionalFormatting sqref="D34:M34 D36:M38">
    <cfRule type="cellIs" dxfId="59" priority="18" stopIfTrue="1" operator="greaterThan">
      <formula>5</formula>
    </cfRule>
  </conditionalFormatting>
  <conditionalFormatting sqref="D19:M19">
    <cfRule type="cellIs" dxfId="58" priority="21" operator="greaterThanOrEqual">
      <formula>0.49</formula>
    </cfRule>
    <cfRule type="cellIs" dxfId="57" priority="25" operator="greaterThan">
      <formula>1</formula>
    </cfRule>
  </conditionalFormatting>
  <conditionalFormatting sqref="D16:M16">
    <cfRule type="cellIs" dxfId="56" priority="17" stopIfTrue="1" operator="greaterThan">
      <formula>2.9</formula>
    </cfRule>
  </conditionalFormatting>
  <conditionalFormatting sqref="D17:M17">
    <cfRule type="expression" dxfId="55" priority="16" stopIfTrue="1">
      <formula>D$16&gt;2.9</formula>
    </cfRule>
  </conditionalFormatting>
  <conditionalFormatting sqref="D28:M28">
    <cfRule type="cellIs" dxfId="54" priority="14" stopIfTrue="1" operator="greaterThan">
      <formula>2.9</formula>
    </cfRule>
  </conditionalFormatting>
  <conditionalFormatting sqref="D29:M29">
    <cfRule type="expression" dxfId="53" priority="13" stopIfTrue="1">
      <formula>D$28&gt;2.9</formula>
    </cfRule>
  </conditionalFormatting>
  <conditionalFormatting sqref="D39">
    <cfRule type="expression" dxfId="52" priority="7">
      <formula>IF(AND(D45&lt;1,E45&lt;1,F45&lt;1,G45&lt;1,H45&lt;1,I45&lt;1,J45&lt;1,K45&lt;1,L45&lt;1,M45&lt;1),FALSE,TRUE)</formula>
    </cfRule>
    <cfRule type="expression" dxfId="51" priority="8">
      <formula>AND(D45&lt;1,E45&lt;1,F45&lt;1,G45&lt;1,H45&lt;1,I45,1,J45,1,K45&lt;1,L45&lt;1,M45)</formula>
    </cfRule>
  </conditionalFormatting>
  <conditionalFormatting sqref="D45:M45">
    <cfRule type="cellIs" dxfId="50" priority="6" operator="greaterThan">
      <formula>0.99</formula>
    </cfRule>
  </conditionalFormatting>
  <conditionalFormatting sqref="D53:M53">
    <cfRule type="expression" dxfId="49" priority="5">
      <formula>(D$51-D$16)&gt;1</formula>
    </cfRule>
  </conditionalFormatting>
  <conditionalFormatting sqref="D54">
    <cfRule type="expression" dxfId="48" priority="3">
      <formula>IF(AND(D60&lt;1,E60&lt;1,F60&lt;1,G60&lt;1,H60&lt;1,I60&lt;1,J60&lt;1,K60&lt;1,L60&lt;1,M60&lt;1),FALSE,TRUE)</formula>
    </cfRule>
    <cfRule type="expression" dxfId="47" priority="4">
      <formula>AND(D60&lt;1,E60&lt;1,F60&lt;1,G60&lt;1,H60&lt;1,I60&lt;1,J60&lt;1,K60&lt;1,L60&lt;1,M60&lt;1)</formula>
    </cfRule>
  </conditionalFormatting>
  <conditionalFormatting sqref="D68:M68">
    <cfRule type="expression" dxfId="46" priority="2">
      <formula>(D$66-D$28)&gt;1</formula>
    </cfRule>
  </conditionalFormatting>
  <conditionalFormatting sqref="D23:M23">
    <cfRule type="expression" dxfId="45" priority="1" stopIfTrue="1">
      <formula>D$16&gt;2.9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3:S68"/>
  <sheetViews>
    <sheetView workbookViewId="0">
      <pane ySplit="10" topLeftCell="A11" activePane="bottomLeft" state="frozen"/>
      <selection activeCell="O31" sqref="O31"/>
      <selection pane="bottomLeft"/>
    </sheetView>
  </sheetViews>
  <sheetFormatPr defaultRowHeight="13.8"/>
  <cols>
    <col min="1" max="1" width="16.33203125" style="1" customWidth="1"/>
    <col min="2" max="2" width="4.6640625" style="1" customWidth="1"/>
    <col min="3" max="3" width="31.44140625" style="1" customWidth="1"/>
    <col min="4" max="4" width="10.5546875" style="1" customWidth="1"/>
    <col min="5" max="13" width="10.5546875" style="1" bestFit="1" customWidth="1"/>
    <col min="14" max="16" width="8.88671875" style="1"/>
    <col min="17" max="17" width="8.44140625" style="1" customWidth="1"/>
    <col min="18" max="16384" width="8.88671875" style="1"/>
  </cols>
  <sheetData>
    <row r="3" spans="1:16">
      <c r="A3" s="112"/>
    </row>
    <row r="4" spans="1:16" ht="14.4" thickBot="1">
      <c r="A4" s="112"/>
      <c r="B4" s="7"/>
      <c r="C4" s="7"/>
      <c r="D4" s="7"/>
      <c r="E4" s="7"/>
      <c r="F4" s="7"/>
      <c r="G4" s="7"/>
      <c r="H4" s="7"/>
      <c r="I4" s="7"/>
      <c r="J4" s="7"/>
      <c r="K4" s="112"/>
      <c r="L4" s="112"/>
      <c r="M4" s="112"/>
    </row>
    <row r="5" spans="1:16" ht="14.4" thickBot="1">
      <c r="A5" s="112"/>
      <c r="B5" s="7"/>
      <c r="C5" s="8" t="s">
        <v>35</v>
      </c>
      <c r="D5" s="206" t="s">
        <v>30</v>
      </c>
      <c r="E5" s="207"/>
      <c r="F5" s="9" t="s">
        <v>33</v>
      </c>
      <c r="G5" s="10" t="s">
        <v>34</v>
      </c>
      <c r="H5" s="11" t="s">
        <v>34</v>
      </c>
      <c r="I5" s="12" t="s">
        <v>34</v>
      </c>
      <c r="J5" s="7"/>
      <c r="K5" s="112"/>
      <c r="L5" s="112"/>
      <c r="M5" s="112"/>
    </row>
    <row r="6" spans="1:16">
      <c r="A6" s="112"/>
      <c r="B6" s="7"/>
      <c r="C6" s="7"/>
      <c r="D6" s="7"/>
      <c r="E6" s="7"/>
      <c r="F6" s="7"/>
      <c r="G6" s="7"/>
      <c r="H6" s="7"/>
      <c r="I6" s="7"/>
      <c r="J6" s="7"/>
      <c r="K6" s="112"/>
      <c r="L6" s="112"/>
      <c r="M6" s="112"/>
    </row>
    <row r="7" spans="1:16">
      <c r="A7" s="112"/>
      <c r="C7" s="13" t="s">
        <v>13</v>
      </c>
      <c r="D7" s="14" t="s">
        <v>14</v>
      </c>
      <c r="E7" s="14" t="s">
        <v>15</v>
      </c>
      <c r="F7" s="14" t="s">
        <v>16</v>
      </c>
      <c r="G7" s="14" t="s">
        <v>17</v>
      </c>
      <c r="H7" s="14" t="s">
        <v>18</v>
      </c>
      <c r="I7" s="14" t="s">
        <v>19</v>
      </c>
      <c r="J7" s="14" t="s">
        <v>20</v>
      </c>
      <c r="K7" s="14" t="s">
        <v>21</v>
      </c>
      <c r="L7" s="14" t="s">
        <v>22</v>
      </c>
      <c r="M7" s="14" t="s">
        <v>23</v>
      </c>
    </row>
    <row r="8" spans="1:16">
      <c r="C8" s="15" t="s">
        <v>25</v>
      </c>
      <c r="D8" s="16" t="str">
        <f>$D$12&amp;" to "&amp;$D$24</f>
        <v>1 to 2</v>
      </c>
      <c r="E8" s="16" t="str">
        <f>$E$12&amp;" to "&amp;$E$24</f>
        <v>2 to 2</v>
      </c>
      <c r="F8" s="16" t="str">
        <f>$F$12&amp;" to "&amp;$F$24</f>
        <v>2 to 3</v>
      </c>
      <c r="G8" s="16" t="str">
        <f>$G$12&amp;" to "&amp;$G$24</f>
        <v>1 to 3</v>
      </c>
      <c r="H8" s="16" t="str">
        <f>$H$12&amp;" to "&amp;$H$24</f>
        <v>1 to 2</v>
      </c>
      <c r="I8" s="16" t="str">
        <f>$I$12&amp;" to "&amp;$I$24</f>
        <v>2 to 2</v>
      </c>
      <c r="J8" s="16" t="str">
        <f>$J$12&amp;" to "&amp;$J$24</f>
        <v>2 to 2</v>
      </c>
      <c r="K8" s="16" t="str">
        <f>$K$12&amp;" to "&amp;$K$24</f>
        <v>2 to 3</v>
      </c>
      <c r="L8" s="16" t="str">
        <f>$L$12&amp;" to "&amp;$L$24</f>
        <v>1 to 2</v>
      </c>
      <c r="M8" s="16" t="str">
        <f>$M$12&amp;" to "&amp;$M$24</f>
        <v>1 to 1</v>
      </c>
    </row>
    <row r="9" spans="1:16">
      <c r="B9" s="17"/>
      <c r="C9" s="18" t="s">
        <v>31</v>
      </c>
      <c r="D9" s="19">
        <v>16.268000000000001</v>
      </c>
      <c r="E9" s="19">
        <v>20.525896414342629</v>
      </c>
      <c r="F9" s="19">
        <v>21.564</v>
      </c>
      <c r="G9" s="19">
        <v>9.6414342629482075</v>
      </c>
      <c r="H9" s="19">
        <v>8.1999999999999993</v>
      </c>
      <c r="I9" s="19">
        <v>17.410358565737052</v>
      </c>
      <c r="J9" s="19">
        <v>19.262948207171316</v>
      </c>
      <c r="K9" s="19">
        <v>18.143426294820717</v>
      </c>
      <c r="L9" s="19">
        <v>6.6280000000000001</v>
      </c>
      <c r="M9" s="19">
        <v>1.368421052631579</v>
      </c>
      <c r="N9" s="20"/>
      <c r="O9" s="20"/>
      <c r="P9" s="20"/>
    </row>
    <row r="10" spans="1:16">
      <c r="B10" s="17"/>
      <c r="C10" s="18" t="s">
        <v>32</v>
      </c>
      <c r="D10" s="21">
        <v>31</v>
      </c>
      <c r="E10" s="21">
        <v>33</v>
      </c>
      <c r="F10" s="21">
        <v>36</v>
      </c>
      <c r="G10" s="21">
        <v>35</v>
      </c>
      <c r="H10" s="21">
        <v>19</v>
      </c>
      <c r="I10" s="21">
        <v>30</v>
      </c>
      <c r="J10" s="21">
        <v>33</v>
      </c>
      <c r="K10" s="21">
        <v>35</v>
      </c>
      <c r="L10" s="21">
        <v>26</v>
      </c>
      <c r="M10" s="21">
        <v>3</v>
      </c>
      <c r="N10" s="20"/>
      <c r="O10" s="20"/>
      <c r="P10" s="20"/>
    </row>
    <row r="11" spans="1:16" ht="14.4" thickBot="1">
      <c r="C11" s="15"/>
      <c r="D11" s="22"/>
      <c r="E11" s="16"/>
      <c r="F11" s="16"/>
      <c r="G11" s="16"/>
      <c r="H11" s="16"/>
      <c r="I11" s="16"/>
      <c r="J11" s="16"/>
      <c r="K11" s="16"/>
      <c r="L11" s="16"/>
      <c r="M11" s="16"/>
    </row>
    <row r="12" spans="1:16" ht="14.4" thickBot="1">
      <c r="A12" s="150" t="s">
        <v>3</v>
      </c>
      <c r="B12" s="151"/>
      <c r="C12" s="152" t="s">
        <v>4</v>
      </c>
      <c r="D12" s="24">
        <v>1</v>
      </c>
      <c r="E12" s="25">
        <v>2</v>
      </c>
      <c r="F12" s="25">
        <v>2</v>
      </c>
      <c r="G12" s="25">
        <v>1</v>
      </c>
      <c r="H12" s="25">
        <v>1</v>
      </c>
      <c r="I12" s="25">
        <v>2</v>
      </c>
      <c r="J12" s="25">
        <v>2</v>
      </c>
      <c r="K12" s="25">
        <v>2</v>
      </c>
      <c r="L12" s="25">
        <v>1</v>
      </c>
      <c r="M12" s="153">
        <v>1</v>
      </c>
    </row>
    <row r="13" spans="1:16">
      <c r="A13" s="154" t="s">
        <v>12</v>
      </c>
      <c r="B13" s="26"/>
      <c r="C13" s="27" t="s">
        <v>5</v>
      </c>
      <c r="D13" s="28">
        <f>D9/60</f>
        <v>0.27113333333333334</v>
      </c>
      <c r="E13" s="29">
        <f t="shared" ref="E13:M13" si="0">E9/60</f>
        <v>0.34209827357237715</v>
      </c>
      <c r="F13" s="29">
        <f t="shared" si="0"/>
        <v>0.3594</v>
      </c>
      <c r="G13" s="29">
        <f t="shared" si="0"/>
        <v>0.16069057104913678</v>
      </c>
      <c r="H13" s="29">
        <f t="shared" si="0"/>
        <v>0.13666666666666666</v>
      </c>
      <c r="I13" s="29">
        <f t="shared" si="0"/>
        <v>0.29017264276228422</v>
      </c>
      <c r="J13" s="29">
        <f t="shared" si="0"/>
        <v>0.32104913678618863</v>
      </c>
      <c r="K13" s="29">
        <f t="shared" si="0"/>
        <v>0.30239043824701195</v>
      </c>
      <c r="L13" s="29">
        <f t="shared" si="0"/>
        <v>0.11046666666666667</v>
      </c>
      <c r="M13" s="155">
        <f t="shared" si="0"/>
        <v>2.2807017543859651E-2</v>
      </c>
    </row>
    <row r="14" spans="1:16">
      <c r="A14" s="156"/>
      <c r="B14" s="30"/>
      <c r="C14" s="31" t="s">
        <v>6</v>
      </c>
      <c r="D14" s="32">
        <v>0.8566666666666668</v>
      </c>
      <c r="E14" s="32">
        <v>0.8566666666666668</v>
      </c>
      <c r="F14" s="32">
        <v>0.8566666666666668</v>
      </c>
      <c r="G14" s="32">
        <v>0.8566666666666668</v>
      </c>
      <c r="H14" s="32">
        <v>0.8566666666666668</v>
      </c>
      <c r="I14" s="32">
        <v>0.8566666666666668</v>
      </c>
      <c r="J14" s="32">
        <v>0.8566666666666668</v>
      </c>
      <c r="K14" s="32">
        <v>0.8566666666666668</v>
      </c>
      <c r="L14" s="32">
        <v>0.8566666666666668</v>
      </c>
      <c r="M14" s="195">
        <v>0.8566666666666668</v>
      </c>
    </row>
    <row r="15" spans="1:16">
      <c r="A15" s="158" t="s">
        <v>27</v>
      </c>
      <c r="B15" s="26"/>
      <c r="C15" s="34" t="s">
        <v>26</v>
      </c>
      <c r="D15" s="35">
        <f>QueueInfinite(D13,D14,D12)</f>
        <v>0.14655557184887141</v>
      </c>
      <c r="E15" s="36">
        <f t="shared" ref="E15:M15" si="1">QueueInfinite(E13,E14,E12)</f>
        <v>1.6581577289552424E-2</v>
      </c>
      <c r="F15" s="36">
        <f t="shared" si="1"/>
        <v>1.9309971707424645E-2</v>
      </c>
      <c r="G15" s="36">
        <f t="shared" si="1"/>
        <v>4.3308645012622785E-2</v>
      </c>
      <c r="H15" s="36">
        <f t="shared" si="1"/>
        <v>3.0281740884853713E-2</v>
      </c>
      <c r="I15" s="36">
        <f t="shared" si="1"/>
        <v>1.0002600993239505E-2</v>
      </c>
      <c r="J15" s="36">
        <f t="shared" si="1"/>
        <v>1.3637732024514574E-2</v>
      </c>
      <c r="K15" s="36">
        <f t="shared" si="1"/>
        <v>1.1348849588859376E-2</v>
      </c>
      <c r="L15" s="36">
        <f t="shared" si="1"/>
        <v>1.9089536574589241E-2</v>
      </c>
      <c r="M15" s="159">
        <f t="shared" si="1"/>
        <v>7.2816896656752216E-4</v>
      </c>
    </row>
    <row r="16" spans="1:16" hidden="1">
      <c r="A16" s="154"/>
      <c r="B16" s="26"/>
      <c r="C16" s="27" t="s">
        <v>7</v>
      </c>
      <c r="D16" s="37">
        <f>D15/D13</f>
        <v>0.54052952489133788</v>
      </c>
      <c r="E16" s="38">
        <f t="shared" ref="E16:M16" si="2">E15/E13</f>
        <v>4.8470216222954096E-2</v>
      </c>
      <c r="F16" s="38">
        <f t="shared" si="2"/>
        <v>5.3728357561003463E-2</v>
      </c>
      <c r="G16" s="38">
        <f t="shared" si="2"/>
        <v>0.26951578259921455</v>
      </c>
      <c r="H16" s="38">
        <f t="shared" si="2"/>
        <v>0.22157371379161253</v>
      </c>
      <c r="I16" s="38">
        <f t="shared" si="2"/>
        <v>3.4471206168921492E-2</v>
      </c>
      <c r="J16" s="38">
        <f t="shared" si="2"/>
        <v>4.2478644113586234E-2</v>
      </c>
      <c r="K16" s="38">
        <f t="shared" si="2"/>
        <v>3.7530451209534958E-2</v>
      </c>
      <c r="L16" s="38">
        <f t="shared" si="2"/>
        <v>0.17280811624552722</v>
      </c>
      <c r="M16" s="160">
        <f t="shared" si="2"/>
        <v>3.1927408534114431E-2</v>
      </c>
    </row>
    <row r="17" spans="1:17" ht="14.4" thickBot="1">
      <c r="A17" s="161"/>
      <c r="B17" s="26"/>
      <c r="C17" s="39" t="s">
        <v>24</v>
      </c>
      <c r="D17" s="115" t="str">
        <f>TRUNC(D16)&amp;"min "&amp;ROUND((D16-TRUNC(D16))*60,0)&amp;"sec"</f>
        <v>0min 32sec</v>
      </c>
      <c r="E17" s="115" t="str">
        <f t="shared" ref="E17:M17" si="3">TRUNC(E16)&amp;"min "&amp;ROUND((E16-TRUNC(E16))*60,0)&amp;"sec"</f>
        <v>0min 3sec</v>
      </c>
      <c r="F17" s="115" t="str">
        <f t="shared" si="3"/>
        <v>0min 3sec</v>
      </c>
      <c r="G17" s="115" t="str">
        <f t="shared" si="3"/>
        <v>0min 16sec</v>
      </c>
      <c r="H17" s="115" t="str">
        <f t="shared" si="3"/>
        <v>0min 13sec</v>
      </c>
      <c r="I17" s="115" t="str">
        <f t="shared" si="3"/>
        <v>0min 2sec</v>
      </c>
      <c r="J17" s="115" t="str">
        <f t="shared" si="3"/>
        <v>0min 3sec</v>
      </c>
      <c r="K17" s="115" t="str">
        <f t="shared" si="3"/>
        <v>0min 2sec</v>
      </c>
      <c r="L17" s="115" t="str">
        <f t="shared" si="3"/>
        <v>0min 10sec</v>
      </c>
      <c r="M17" s="162" t="str">
        <f t="shared" si="3"/>
        <v>0min 2sec</v>
      </c>
      <c r="O17" s="40" t="s">
        <v>46</v>
      </c>
    </row>
    <row r="18" spans="1:17" ht="28.2" thickBot="1">
      <c r="A18" s="163" t="s">
        <v>29</v>
      </c>
      <c r="B18" s="41">
        <v>3</v>
      </c>
      <c r="C18" s="42" t="str">
        <f>A13&amp;" waiting in line"</f>
        <v>(minutes) waiting in line</v>
      </c>
      <c r="D18" s="43" t="str">
        <f>" = " &amp; ROUND((1-D19)/D19*D15*EXP((D13-D12*D14)*$B$18),4)*100 &amp; "%"</f>
        <v xml:space="preserve"> = 5.46%</v>
      </c>
      <c r="E18" s="44" t="str">
        <f t="shared" ref="E18:M18" si="4">" = " &amp; ROUND((1-E19)/E19*E15*EXP((E13-E12*E14)*$B$18),4)*100 &amp; "%"</f>
        <v xml:space="preserve"> = 0.11%</v>
      </c>
      <c r="F18" s="44" t="str">
        <f t="shared" si="4"/>
        <v xml:space="preserve"> = 0.13%</v>
      </c>
      <c r="G18" s="44" t="str">
        <f t="shared" si="4"/>
        <v xml:space="preserve"> = 2.32%</v>
      </c>
      <c r="H18" s="44" t="str">
        <f t="shared" si="4"/>
        <v xml:space="preserve"> = 1.84%</v>
      </c>
      <c r="I18" s="44" t="str">
        <f t="shared" si="4"/>
        <v xml:space="preserve"> = 0.07%</v>
      </c>
      <c r="J18" s="44" t="str">
        <f t="shared" si="4"/>
        <v xml:space="preserve"> = 0.09%</v>
      </c>
      <c r="K18" s="44" t="str">
        <f t="shared" si="4"/>
        <v xml:space="preserve"> = 0.08%</v>
      </c>
      <c r="L18" s="44" t="str">
        <f t="shared" si="4"/>
        <v xml:space="preserve"> = 1.37%</v>
      </c>
      <c r="M18" s="164" t="str">
        <f t="shared" si="4"/>
        <v xml:space="preserve"> = 0.22%</v>
      </c>
    </row>
    <row r="19" spans="1:17">
      <c r="A19" s="165" t="s">
        <v>28</v>
      </c>
      <c r="B19" s="26"/>
      <c r="C19" s="23" t="s">
        <v>0</v>
      </c>
      <c r="D19" s="45">
        <f>D13/(D12*D14)</f>
        <v>0.31649805447470813</v>
      </c>
      <c r="E19" s="45">
        <f t="shared" ref="E19:M19" si="5">E13/(E12*E14)</f>
        <v>0.19966825305780764</v>
      </c>
      <c r="F19" s="45">
        <f t="shared" si="5"/>
        <v>0.20976653696498052</v>
      </c>
      <c r="G19" s="45">
        <f t="shared" si="5"/>
        <v>0.18757654208070437</v>
      </c>
      <c r="H19" s="45">
        <f t="shared" si="5"/>
        <v>0.15953307392996105</v>
      </c>
      <c r="I19" s="45">
        <f t="shared" si="5"/>
        <v>0.16936146464724758</v>
      </c>
      <c r="J19" s="45">
        <f t="shared" si="5"/>
        <v>0.18738276466119955</v>
      </c>
      <c r="K19" s="45">
        <f t="shared" si="5"/>
        <v>0.17649247368502641</v>
      </c>
      <c r="L19" s="45">
        <f t="shared" si="5"/>
        <v>0.12894941634241244</v>
      </c>
      <c r="M19" s="196">
        <f t="shared" si="5"/>
        <v>2.6622977677657176E-2</v>
      </c>
      <c r="O19" s="47" t="s">
        <v>45</v>
      </c>
      <c r="P19" s="48"/>
      <c r="Q19" s="48"/>
    </row>
    <row r="20" spans="1:17">
      <c r="A20" s="154"/>
      <c r="B20" s="26"/>
      <c r="C20" s="27" t="s">
        <v>8</v>
      </c>
      <c r="D20" s="49">
        <f>D19*D12</f>
        <v>0.31649805447470813</v>
      </c>
      <c r="E20" s="50">
        <f t="shared" ref="E20:M20" si="6">E19*E12</f>
        <v>0.39933650611561528</v>
      </c>
      <c r="F20" s="50">
        <f t="shared" si="6"/>
        <v>0.41953307392996103</v>
      </c>
      <c r="G20" s="50">
        <f t="shared" si="6"/>
        <v>0.18757654208070437</v>
      </c>
      <c r="H20" s="50">
        <f t="shared" si="6"/>
        <v>0.15953307392996105</v>
      </c>
      <c r="I20" s="50">
        <f t="shared" si="6"/>
        <v>0.33872292929449516</v>
      </c>
      <c r="J20" s="50">
        <f t="shared" si="6"/>
        <v>0.37476552932239909</v>
      </c>
      <c r="K20" s="50">
        <f t="shared" si="6"/>
        <v>0.35298494737005282</v>
      </c>
      <c r="L20" s="50">
        <f t="shared" si="6"/>
        <v>0.12894941634241244</v>
      </c>
      <c r="M20" s="167">
        <f t="shared" si="6"/>
        <v>2.6622977677657176E-2</v>
      </c>
    </row>
    <row r="21" spans="1:17">
      <c r="A21" s="154"/>
      <c r="B21" s="26"/>
      <c r="C21" s="27" t="s">
        <v>9</v>
      </c>
      <c r="D21" s="49">
        <f>(D12*D19)+D15</f>
        <v>0.46305362632357955</v>
      </c>
      <c r="E21" s="50">
        <f t="shared" ref="E21:M21" si="7">(E12*E19)+E15</f>
        <v>0.41591808340516767</v>
      </c>
      <c r="F21" s="50">
        <f t="shared" si="7"/>
        <v>0.43884304563738569</v>
      </c>
      <c r="G21" s="50">
        <f t="shared" si="7"/>
        <v>0.23088518709332717</v>
      </c>
      <c r="H21" s="50">
        <f t="shared" si="7"/>
        <v>0.18981481481481477</v>
      </c>
      <c r="I21" s="50">
        <f t="shared" si="7"/>
        <v>0.34872553028773468</v>
      </c>
      <c r="J21" s="50">
        <f t="shared" si="7"/>
        <v>0.38840326134691366</v>
      </c>
      <c r="K21" s="50">
        <f t="shared" si="7"/>
        <v>0.36433379695891221</v>
      </c>
      <c r="L21" s="50">
        <f t="shared" si="7"/>
        <v>0.1480389529170017</v>
      </c>
      <c r="M21" s="167">
        <f t="shared" si="7"/>
        <v>2.7351146644224698E-2</v>
      </c>
      <c r="P21" s="51"/>
    </row>
    <row r="22" spans="1:17" hidden="1">
      <c r="A22" s="154" t="s">
        <v>12</v>
      </c>
      <c r="B22" s="26"/>
      <c r="C22" s="34" t="s">
        <v>10</v>
      </c>
      <c r="D22" s="146">
        <f>D21/D13</f>
        <v>1.7078446999886141</v>
      </c>
      <c r="E22" s="147">
        <f t="shared" ref="E22:M22" si="8">E21/E13</f>
        <v>1.2157853913202301</v>
      </c>
      <c r="F22" s="147">
        <f t="shared" si="8"/>
        <v>1.2210435326582796</v>
      </c>
      <c r="G22" s="147">
        <f t="shared" si="8"/>
        <v>1.4368309576964906</v>
      </c>
      <c r="H22" s="147">
        <f t="shared" si="8"/>
        <v>1.3888888888888886</v>
      </c>
      <c r="I22" s="147">
        <f t="shared" si="8"/>
        <v>1.2017863812661977</v>
      </c>
      <c r="J22" s="147">
        <f t="shared" si="8"/>
        <v>1.2097938192108622</v>
      </c>
      <c r="K22" s="147">
        <f t="shared" si="8"/>
        <v>1.2048456263068112</v>
      </c>
      <c r="L22" s="147">
        <f t="shared" si="8"/>
        <v>1.3401232913428034</v>
      </c>
      <c r="M22" s="168">
        <f t="shared" si="8"/>
        <v>1.1992425836313905</v>
      </c>
    </row>
    <row r="23" spans="1:17">
      <c r="A23" s="154"/>
      <c r="B23" s="26"/>
      <c r="C23" s="34" t="s">
        <v>49</v>
      </c>
      <c r="D23" s="115" t="str">
        <f>TRUNC(D22)&amp;"min "&amp;ROUND((D22-TRUNC(D22))*60,0)&amp;"sec"</f>
        <v>1min 42sec</v>
      </c>
      <c r="E23" s="115" t="str">
        <f t="shared" ref="E23:M23" si="9">TRUNC(E22)&amp;"min "&amp;ROUND((E22-TRUNC(E22))*60,0)&amp;"sec"</f>
        <v>1min 13sec</v>
      </c>
      <c r="F23" s="115" t="str">
        <f t="shared" si="9"/>
        <v>1min 13sec</v>
      </c>
      <c r="G23" s="115" t="str">
        <f t="shared" si="9"/>
        <v>1min 26sec</v>
      </c>
      <c r="H23" s="115" t="str">
        <f t="shared" si="9"/>
        <v>1min 23sec</v>
      </c>
      <c r="I23" s="115" t="str">
        <f t="shared" si="9"/>
        <v>1min 12sec</v>
      </c>
      <c r="J23" s="115" t="str">
        <f t="shared" si="9"/>
        <v>1min 13sec</v>
      </c>
      <c r="K23" s="115" t="str">
        <f t="shared" si="9"/>
        <v>1min 12sec</v>
      </c>
      <c r="L23" s="115" t="str">
        <f t="shared" si="9"/>
        <v>1min 20sec</v>
      </c>
      <c r="M23" s="162" t="str">
        <f t="shared" si="9"/>
        <v>1min 12sec</v>
      </c>
    </row>
    <row r="24" spans="1:17" ht="14.4" thickBot="1">
      <c r="A24" s="171" t="s">
        <v>11</v>
      </c>
      <c r="B24" s="54"/>
      <c r="C24" s="55" t="s">
        <v>4</v>
      </c>
      <c r="D24" s="56">
        <v>2</v>
      </c>
      <c r="E24" s="57">
        <v>2</v>
      </c>
      <c r="F24" s="57">
        <v>3</v>
      </c>
      <c r="G24" s="57">
        <v>3</v>
      </c>
      <c r="H24" s="57">
        <v>2</v>
      </c>
      <c r="I24" s="57">
        <v>2</v>
      </c>
      <c r="J24" s="57">
        <v>2</v>
      </c>
      <c r="K24" s="57">
        <v>3</v>
      </c>
      <c r="L24" s="57">
        <v>2</v>
      </c>
      <c r="M24" s="172">
        <v>1</v>
      </c>
    </row>
    <row r="25" spans="1:17">
      <c r="A25" s="173" t="s">
        <v>12</v>
      </c>
      <c r="B25" s="54"/>
      <c r="C25" s="58" t="s">
        <v>5</v>
      </c>
      <c r="D25" s="59">
        <f>D10/60</f>
        <v>0.51666666666666672</v>
      </c>
      <c r="E25" s="60">
        <f t="shared" ref="E25:M25" si="10">E10/60</f>
        <v>0.55000000000000004</v>
      </c>
      <c r="F25" s="60">
        <f t="shared" si="10"/>
        <v>0.6</v>
      </c>
      <c r="G25" s="60">
        <f t="shared" si="10"/>
        <v>0.58333333333333337</v>
      </c>
      <c r="H25" s="60">
        <f t="shared" si="10"/>
        <v>0.31666666666666665</v>
      </c>
      <c r="I25" s="60">
        <f t="shared" si="10"/>
        <v>0.5</v>
      </c>
      <c r="J25" s="60">
        <f t="shared" si="10"/>
        <v>0.55000000000000004</v>
      </c>
      <c r="K25" s="60">
        <f t="shared" si="10"/>
        <v>0.58333333333333337</v>
      </c>
      <c r="L25" s="60">
        <f t="shared" si="10"/>
        <v>0.43333333333333335</v>
      </c>
      <c r="M25" s="174">
        <f t="shared" si="10"/>
        <v>0.05</v>
      </c>
    </row>
    <row r="26" spans="1:17">
      <c r="A26" s="175"/>
      <c r="B26" s="61"/>
      <c r="C26" s="62" t="s">
        <v>6</v>
      </c>
      <c r="D26" s="63">
        <v>0.56302448915104286</v>
      </c>
      <c r="E26" s="64">
        <v>0.56302448915104286</v>
      </c>
      <c r="F26" s="64">
        <v>0.56302448915104286</v>
      </c>
      <c r="G26" s="64">
        <v>0.56302448915104286</v>
      </c>
      <c r="H26" s="64">
        <v>0.56302448915104286</v>
      </c>
      <c r="I26" s="64">
        <v>0.56302448915104286</v>
      </c>
      <c r="J26" s="64">
        <v>0.56302448915104286</v>
      </c>
      <c r="K26" s="64">
        <v>0.56302448915104286</v>
      </c>
      <c r="L26" s="64">
        <v>0.56302448915104286</v>
      </c>
      <c r="M26" s="176">
        <v>0.56302448915104286</v>
      </c>
    </row>
    <row r="27" spans="1:17">
      <c r="A27" s="177" t="s">
        <v>27</v>
      </c>
      <c r="B27" s="54"/>
      <c r="C27" s="66" t="s">
        <v>26</v>
      </c>
      <c r="D27" s="67">
        <f>QueueInfinite(D25,D26,D24)</f>
        <v>0.24471005120332909</v>
      </c>
      <c r="E27" s="68">
        <f t="shared" ref="E27:M27" si="11">QueueInfinite(E25,E26,E24)</f>
        <v>0.30606570345067569</v>
      </c>
      <c r="F27" s="68">
        <f t="shared" si="11"/>
        <v>5.849570000502579E-2</v>
      </c>
      <c r="G27" s="68">
        <f t="shared" si="11"/>
        <v>5.2303094081668625E-2</v>
      </c>
      <c r="H27" s="68">
        <f t="shared" si="11"/>
        <v>4.8299798186396778E-2</v>
      </c>
      <c r="I27" s="68">
        <f t="shared" si="11"/>
        <v>0.21809253161914127</v>
      </c>
      <c r="J27" s="68">
        <f t="shared" si="11"/>
        <v>0.30606570345067569</v>
      </c>
      <c r="K27" s="68">
        <f t="shared" si="11"/>
        <v>5.2303094081668625E-2</v>
      </c>
      <c r="L27" s="68">
        <f t="shared" si="11"/>
        <v>0.13379238871159779</v>
      </c>
      <c r="M27" s="178">
        <f t="shared" si="11"/>
        <v>8.6551505571519447E-3</v>
      </c>
    </row>
    <row r="28" spans="1:17" hidden="1">
      <c r="A28" s="173"/>
      <c r="B28" s="54"/>
      <c r="C28" s="58" t="s">
        <v>7</v>
      </c>
      <c r="D28" s="113">
        <f>D27/D25</f>
        <v>0.47363235716773366</v>
      </c>
      <c r="E28" s="113">
        <f t="shared" ref="E28:M28" si="12">E27/E25</f>
        <v>0.55648309718304667</v>
      </c>
      <c r="F28" s="113">
        <f t="shared" si="12"/>
        <v>9.7492833341709648E-2</v>
      </c>
      <c r="G28" s="113">
        <f t="shared" si="12"/>
        <v>8.9662446997146206E-2</v>
      </c>
      <c r="H28" s="113">
        <f t="shared" si="12"/>
        <v>0.15252567848335824</v>
      </c>
      <c r="I28" s="113">
        <f t="shared" si="12"/>
        <v>0.43618506323828254</v>
      </c>
      <c r="J28" s="113">
        <f t="shared" si="12"/>
        <v>0.55648309718304667</v>
      </c>
      <c r="K28" s="113">
        <f t="shared" si="12"/>
        <v>8.9662446997146206E-2</v>
      </c>
      <c r="L28" s="113">
        <f t="shared" si="12"/>
        <v>0.30875166625753336</v>
      </c>
      <c r="M28" s="197">
        <f t="shared" si="12"/>
        <v>0.17310301114303889</v>
      </c>
      <c r="O28" s="71"/>
    </row>
    <row r="29" spans="1:17" ht="14.4" thickBot="1">
      <c r="A29" s="173"/>
      <c r="B29" s="54"/>
      <c r="C29" s="72" t="s">
        <v>24</v>
      </c>
      <c r="D29" s="117" t="str">
        <f>TRUNC(D28)&amp;"min "&amp;ROUND((D28-TRUNC(D28))*60,0)&amp;"sec"</f>
        <v>0min 28sec</v>
      </c>
      <c r="E29" s="117" t="str">
        <f t="shared" ref="E29:M29" si="13">TRUNC(E28)&amp;"min "&amp;ROUND((E28-TRUNC(E28))*60,0)&amp;"sec"</f>
        <v>0min 33sec</v>
      </c>
      <c r="F29" s="117" t="str">
        <f t="shared" si="13"/>
        <v>0min 6sec</v>
      </c>
      <c r="G29" s="117" t="str">
        <f t="shared" si="13"/>
        <v>0min 5sec</v>
      </c>
      <c r="H29" s="117" t="str">
        <f t="shared" si="13"/>
        <v>0min 9sec</v>
      </c>
      <c r="I29" s="117" t="str">
        <f t="shared" si="13"/>
        <v>0min 26sec</v>
      </c>
      <c r="J29" s="117" t="str">
        <f t="shared" si="13"/>
        <v>0min 33sec</v>
      </c>
      <c r="K29" s="117" t="str">
        <f t="shared" si="13"/>
        <v>0min 5sec</v>
      </c>
      <c r="L29" s="117" t="str">
        <f t="shared" si="13"/>
        <v>0min 19sec</v>
      </c>
      <c r="M29" s="198" t="str">
        <f t="shared" si="13"/>
        <v>0min 10sec</v>
      </c>
      <c r="O29" s="71"/>
    </row>
    <row r="30" spans="1:17" ht="28.2" thickBot="1">
      <c r="A30" s="181" t="s">
        <v>29</v>
      </c>
      <c r="B30" s="41">
        <v>3</v>
      </c>
      <c r="C30" s="73" t="str">
        <f>A25&amp;" waiting in line"</f>
        <v>(minutes) waiting in line</v>
      </c>
      <c r="D30" s="74" t="str">
        <f>" = " &amp; ROUND((1-D31)/D31*D27*EXP((D25-D24*D26)*$B$30),4)*100 &amp; "%"</f>
        <v xml:space="preserve"> = 4.64%</v>
      </c>
      <c r="E30" s="74" t="str">
        <f t="shared" ref="E30:M30" si="14">" = " &amp; ROUND((1-E31)/E31*E27*EXP((E25-E24*E26)*$B$30),4)*100 &amp; "%"</f>
        <v xml:space="preserve"> = 5.69%</v>
      </c>
      <c r="F30" s="74" t="str">
        <f t="shared" si="14"/>
        <v xml:space="preserve"> = 0.4%</v>
      </c>
      <c r="G30" s="74" t="str">
        <f t="shared" si="14"/>
        <v xml:space="preserve"> = 0.36%</v>
      </c>
      <c r="H30" s="74" t="str">
        <f t="shared" si="14"/>
        <v xml:space="preserve"> = 1.09%</v>
      </c>
      <c r="I30" s="74" t="str">
        <f t="shared" si="14"/>
        <v xml:space="preserve"> = 4.17%</v>
      </c>
      <c r="J30" s="74" t="str">
        <f t="shared" si="14"/>
        <v xml:space="preserve"> = 5.69%</v>
      </c>
      <c r="K30" s="74" t="str">
        <f t="shared" si="14"/>
        <v xml:space="preserve"> = 0.36%</v>
      </c>
      <c r="L30" s="74" t="str">
        <f t="shared" si="14"/>
        <v xml:space="preserve"> = 2.68%</v>
      </c>
      <c r="M30" s="182" t="str">
        <f t="shared" si="14"/>
        <v xml:space="preserve"> = 1.91%</v>
      </c>
      <c r="O30" s="71"/>
    </row>
    <row r="31" spans="1:17">
      <c r="A31" s="183" t="s">
        <v>28</v>
      </c>
      <c r="B31" s="54"/>
      <c r="C31" s="75" t="s">
        <v>0</v>
      </c>
      <c r="D31" s="76">
        <f>D25/(D24*D26)</f>
        <v>0.45883143328785142</v>
      </c>
      <c r="E31" s="114">
        <f t="shared" ref="E31:M31" si="15">E25/(E24*E26)</f>
        <v>0.48843346124190634</v>
      </c>
      <c r="F31" s="76">
        <f t="shared" si="15"/>
        <v>0.35522433544865911</v>
      </c>
      <c r="G31" s="76">
        <f t="shared" si="15"/>
        <v>0.34535699279730753</v>
      </c>
      <c r="H31" s="76">
        <f t="shared" si="15"/>
        <v>0.28121926556352178</v>
      </c>
      <c r="I31" s="76">
        <f t="shared" si="15"/>
        <v>0.44403041931082393</v>
      </c>
      <c r="J31" s="76">
        <f t="shared" si="15"/>
        <v>0.48843346124190634</v>
      </c>
      <c r="K31" s="76">
        <f t="shared" si="15"/>
        <v>0.34535699279730753</v>
      </c>
      <c r="L31" s="76">
        <f t="shared" si="15"/>
        <v>0.38482636340271409</v>
      </c>
      <c r="M31" s="199">
        <f t="shared" si="15"/>
        <v>8.8806083862164792E-2</v>
      </c>
    </row>
    <row r="32" spans="1:17">
      <c r="A32" s="173"/>
      <c r="B32" s="54"/>
      <c r="C32" s="58" t="s">
        <v>8</v>
      </c>
      <c r="D32" s="69">
        <f>D31*D24</f>
        <v>0.91766286657570284</v>
      </c>
      <c r="E32" s="70">
        <f t="shared" ref="E32:M32" si="16">E31*E24</f>
        <v>0.97686692248381268</v>
      </c>
      <c r="F32" s="70">
        <f t="shared" si="16"/>
        <v>1.0656730063459774</v>
      </c>
      <c r="G32" s="70">
        <f t="shared" si="16"/>
        <v>1.0360709783919226</v>
      </c>
      <c r="H32" s="70">
        <f t="shared" si="16"/>
        <v>0.56243853112704356</v>
      </c>
      <c r="I32" s="70">
        <f t="shared" si="16"/>
        <v>0.88806083862164786</v>
      </c>
      <c r="J32" s="70">
        <f t="shared" si="16"/>
        <v>0.97686692248381268</v>
      </c>
      <c r="K32" s="70">
        <f t="shared" si="16"/>
        <v>1.0360709783919226</v>
      </c>
      <c r="L32" s="70">
        <f t="shared" si="16"/>
        <v>0.76965272680542818</v>
      </c>
      <c r="M32" s="179">
        <f t="shared" si="16"/>
        <v>8.8806083862164792E-2</v>
      </c>
    </row>
    <row r="33" spans="1:19">
      <c r="A33" s="173"/>
      <c r="B33" s="54"/>
      <c r="C33" s="58" t="s">
        <v>9</v>
      </c>
      <c r="D33" s="69">
        <f>(D24*D31)+D27</f>
        <v>1.1623729177790318</v>
      </c>
      <c r="E33" s="70">
        <f t="shared" ref="E33:M33" si="17">(E24*E31)+E27</f>
        <v>1.2829326259344884</v>
      </c>
      <c r="F33" s="70">
        <f t="shared" si="17"/>
        <v>1.1241687063510031</v>
      </c>
      <c r="G33" s="70">
        <f t="shared" si="17"/>
        <v>1.0883740724735913</v>
      </c>
      <c r="H33" s="70">
        <f t="shared" si="17"/>
        <v>0.6107383293134403</v>
      </c>
      <c r="I33" s="70">
        <f t="shared" si="17"/>
        <v>1.1061533702407891</v>
      </c>
      <c r="J33" s="70">
        <f t="shared" si="17"/>
        <v>1.2829326259344884</v>
      </c>
      <c r="K33" s="70">
        <f t="shared" si="17"/>
        <v>1.0883740724735913</v>
      </c>
      <c r="L33" s="70">
        <f t="shared" si="17"/>
        <v>0.903445115517026</v>
      </c>
      <c r="M33" s="179">
        <f t="shared" si="17"/>
        <v>9.7461234419316742E-2</v>
      </c>
    </row>
    <row r="34" spans="1:19" hidden="1">
      <c r="A34" s="173" t="s">
        <v>12</v>
      </c>
      <c r="B34" s="54"/>
      <c r="C34" s="55" t="s">
        <v>10</v>
      </c>
      <c r="D34" s="148">
        <f>D33/D25</f>
        <v>2.2497540344110289</v>
      </c>
      <c r="E34" s="149">
        <f t="shared" ref="E34:M34" si="18">E33/E25</f>
        <v>2.3326047744263425</v>
      </c>
      <c r="F34" s="149">
        <f t="shared" si="18"/>
        <v>1.8736145105850053</v>
      </c>
      <c r="G34" s="149">
        <f t="shared" si="18"/>
        <v>1.865784124240442</v>
      </c>
      <c r="H34" s="149">
        <f t="shared" si="18"/>
        <v>1.9286473557266537</v>
      </c>
      <c r="I34" s="149">
        <f t="shared" si="18"/>
        <v>2.2123067404815782</v>
      </c>
      <c r="J34" s="149">
        <f t="shared" si="18"/>
        <v>2.3326047744263425</v>
      </c>
      <c r="K34" s="149">
        <f t="shared" si="18"/>
        <v>1.865784124240442</v>
      </c>
      <c r="L34" s="149">
        <f t="shared" si="18"/>
        <v>2.0848733435008291</v>
      </c>
      <c r="M34" s="185">
        <f t="shared" si="18"/>
        <v>1.9492246883863347</v>
      </c>
    </row>
    <row r="35" spans="1:19" ht="14.4" thickBot="1">
      <c r="A35" s="186"/>
      <c r="B35" s="187"/>
      <c r="C35" s="188" t="s">
        <v>49</v>
      </c>
      <c r="D35" s="192" t="str">
        <f>TRUNC(D34)&amp;"min "&amp;ROUND((D34-TRUNC(D34))*60,0)&amp;"sec"</f>
        <v>2min 15sec</v>
      </c>
      <c r="E35" s="193" t="str">
        <f t="shared" ref="E35:M35" si="19">TRUNC(E34)&amp;"min "&amp;ROUND((E34-TRUNC(E34))*60,0)&amp;"sec"</f>
        <v>2min 20sec</v>
      </c>
      <c r="F35" s="193" t="str">
        <f t="shared" si="19"/>
        <v>1min 52sec</v>
      </c>
      <c r="G35" s="193" t="str">
        <f t="shared" si="19"/>
        <v>1min 52sec</v>
      </c>
      <c r="H35" s="193" t="str">
        <f t="shared" si="19"/>
        <v>1min 56sec</v>
      </c>
      <c r="I35" s="193" t="str">
        <f t="shared" si="19"/>
        <v>2min 13sec</v>
      </c>
      <c r="J35" s="193" t="str">
        <f t="shared" si="19"/>
        <v>2min 20sec</v>
      </c>
      <c r="K35" s="193" t="str">
        <f t="shared" si="19"/>
        <v>1min 52sec</v>
      </c>
      <c r="L35" s="193" t="str">
        <f t="shared" si="19"/>
        <v>2min 5sec</v>
      </c>
      <c r="M35" s="194" t="str">
        <f t="shared" si="19"/>
        <v>1min 57sec</v>
      </c>
    </row>
    <row r="36" spans="1:19">
      <c r="A36" s="78"/>
      <c r="B36" s="78"/>
      <c r="C36" s="79"/>
      <c r="D36" s="80"/>
      <c r="E36" s="80"/>
      <c r="F36" s="80"/>
      <c r="G36" s="80"/>
      <c r="H36" s="80"/>
      <c r="I36" s="80"/>
      <c r="J36" s="80"/>
      <c r="K36" s="80"/>
      <c r="L36" s="80"/>
      <c r="M36" s="80"/>
    </row>
    <row r="37" spans="1:19">
      <c r="A37" s="78"/>
      <c r="B37" s="78"/>
      <c r="C37" s="79"/>
      <c r="D37" s="80"/>
      <c r="E37" s="80"/>
      <c r="F37" s="80"/>
      <c r="G37" s="80"/>
      <c r="H37" s="80"/>
      <c r="I37" s="80"/>
      <c r="J37" s="80"/>
      <c r="K37" s="80"/>
      <c r="L37" s="80"/>
      <c r="M37" s="80"/>
    </row>
    <row r="38" spans="1:19">
      <c r="A38" s="78"/>
      <c r="B38" s="78"/>
      <c r="C38" s="81" t="s">
        <v>41</v>
      </c>
      <c r="D38" s="80"/>
      <c r="E38" s="80"/>
      <c r="F38" s="80"/>
      <c r="G38" s="80"/>
      <c r="H38" s="80"/>
      <c r="I38" s="80"/>
      <c r="J38" s="80"/>
      <c r="K38" s="80"/>
      <c r="L38" s="80"/>
      <c r="M38" s="80"/>
    </row>
    <row r="39" spans="1:19">
      <c r="A39" s="78"/>
      <c r="B39" s="78"/>
      <c r="C39" s="34" t="s">
        <v>3</v>
      </c>
      <c r="D39" s="122" t="str">
        <f>IF(AND(D45&lt;1,E45&lt;1,F45&lt;1,G45&lt;1,H45&lt;1,I45,1,J45,1,K45&lt;1,L45&lt;1,M45&lt;1),"Status is OK! Number of people in line is unchanged","Attention! Changes result in the number of people in line to increase")</f>
        <v>Status is OK! Number of people in line is unchanged</v>
      </c>
      <c r="F39" s="80"/>
      <c r="G39" s="80"/>
      <c r="H39" s="80"/>
      <c r="I39" s="122" t="str">
        <f>IF(OR((D$51-D$16)&gt;1,(E$51-E$16)&gt;1,(F$51-F$16)&gt;1,(G$51-G$16)&gt;1,(H$51-H$16)&gt;1,(I$51-I$16)&gt;1,(J$51-J$16)&gt;1,(K$51-K$16)&gt;1,(L$51-L$16)&gt;1,(M$51-M$16)&gt;1),"Attention! The line's waiting time increased","")</f>
        <v/>
      </c>
      <c r="J39" s="80"/>
      <c r="K39" s="80"/>
      <c r="L39" s="80"/>
      <c r="M39" s="80"/>
    </row>
    <row r="40" spans="1:19">
      <c r="A40" s="15" t="s">
        <v>1</v>
      </c>
      <c r="B40" s="6" t="s">
        <v>38</v>
      </c>
      <c r="C40" s="82" t="s">
        <v>39</v>
      </c>
      <c r="D40" s="83" t="s">
        <v>36</v>
      </c>
      <c r="E40" s="83" t="s">
        <v>36</v>
      </c>
      <c r="F40" s="83" t="s">
        <v>36</v>
      </c>
      <c r="G40" s="83" t="s">
        <v>36</v>
      </c>
      <c r="H40" s="83" t="s">
        <v>36</v>
      </c>
      <c r="I40" s="83" t="s">
        <v>36</v>
      </c>
      <c r="J40" s="83" t="s">
        <v>36</v>
      </c>
      <c r="K40" s="83" t="s">
        <v>36</v>
      </c>
      <c r="L40" s="83" t="s">
        <v>36</v>
      </c>
      <c r="M40" s="83" t="s">
        <v>36</v>
      </c>
      <c r="N40" s="78"/>
      <c r="O40" s="79"/>
      <c r="P40" s="84"/>
      <c r="Q40" s="78"/>
      <c r="R40" s="85"/>
      <c r="S40" s="85"/>
    </row>
    <row r="41" spans="1:19" ht="14.4" thickBot="1">
      <c r="A41" s="13" t="s">
        <v>2</v>
      </c>
      <c r="B41" s="86">
        <f>1-SUM(B42:B44)</f>
        <v>0.19999999999999996</v>
      </c>
      <c r="C41" s="87">
        <f>1-$B$41*$D$19</f>
        <v>0.93670038910505837</v>
      </c>
      <c r="D41" s="88">
        <f>D$15*$B$41*(1-D$19)/($C$41)</f>
        <v>2.138805954420081E-2</v>
      </c>
      <c r="E41" s="88">
        <f t="shared" ref="E41:M41" si="20">E$15*$B$41*(1-E$19)/($C$41)</f>
        <v>2.8335128016512543E-3</v>
      </c>
      <c r="F41" s="88">
        <f t="shared" si="20"/>
        <v>3.2581145456863818E-3</v>
      </c>
      <c r="G41" s="88">
        <f t="shared" si="20"/>
        <v>7.5125321924058635E-3</v>
      </c>
      <c r="H41" s="88">
        <f t="shared" si="20"/>
        <v>5.4341392346081126E-3</v>
      </c>
      <c r="I41" s="88">
        <f t="shared" si="20"/>
        <v>1.774002858412516E-3</v>
      </c>
      <c r="J41" s="88">
        <f t="shared" si="20"/>
        <v>2.3662328366577607E-3</v>
      </c>
      <c r="K41" s="88">
        <f t="shared" si="20"/>
        <v>1.9954861042326471E-3</v>
      </c>
      <c r="L41" s="88">
        <f t="shared" si="20"/>
        <v>3.5503245580874557E-3</v>
      </c>
      <c r="M41" s="88">
        <f t="shared" si="20"/>
        <v>1.5133610462193085E-4</v>
      </c>
      <c r="N41" s="78"/>
      <c r="O41" s="89"/>
      <c r="P41" s="90"/>
      <c r="Q41" s="91"/>
      <c r="R41" s="78"/>
      <c r="S41" s="78"/>
    </row>
    <row r="42" spans="1:19" ht="14.4" thickBot="1">
      <c r="A42" s="1">
        <v>2</v>
      </c>
      <c r="B42" s="92">
        <v>0.8</v>
      </c>
      <c r="C42" s="87">
        <f>$C$41-$B$42*$D$19</f>
        <v>0.68350194552529187</v>
      </c>
      <c r="D42" s="88">
        <f>D$15*$B$42*(1-D$19)/($C$42*$C$41)</f>
        <v>0.1251675123046706</v>
      </c>
      <c r="E42" s="88">
        <f t="shared" ref="E42:M42" si="21">E$15*$B$42*(1-E$19)/($C$42*$C$41)</f>
        <v>1.6582324718760619E-2</v>
      </c>
      <c r="F42" s="88">
        <f t="shared" si="21"/>
        <v>1.906718520417626E-2</v>
      </c>
      <c r="G42" s="88">
        <f t="shared" si="21"/>
        <v>4.3964949867888133E-2</v>
      </c>
      <c r="H42" s="88">
        <f t="shared" si="21"/>
        <v>3.1801748452562568E-2</v>
      </c>
      <c r="I42" s="88">
        <f t="shared" si="21"/>
        <v>1.0381845260435311E-2</v>
      </c>
      <c r="J42" s="88">
        <f t="shared" si="21"/>
        <v>1.3847702129592274E-2</v>
      </c>
      <c r="K42" s="88">
        <f t="shared" si="21"/>
        <v>1.1678012724303549E-2</v>
      </c>
      <c r="L42" s="88">
        <f t="shared" si="21"/>
        <v>2.0777260877342055E-2</v>
      </c>
      <c r="M42" s="88">
        <f t="shared" si="21"/>
        <v>8.8565134664320231E-4</v>
      </c>
      <c r="N42" s="78"/>
      <c r="O42" s="78"/>
      <c r="P42" s="93"/>
      <c r="Q42" s="91"/>
      <c r="R42" s="78"/>
      <c r="S42" s="78"/>
    </row>
    <row r="43" spans="1:19" ht="14.4" thickBot="1">
      <c r="A43" s="1">
        <v>3</v>
      </c>
      <c r="B43" s="92">
        <v>0</v>
      </c>
      <c r="C43" s="87">
        <f>$C$42-$B$43*$D$19</f>
        <v>0.68350194552529187</v>
      </c>
      <c r="D43" s="88">
        <f>D$15*$B43*(1-D$19)/($C$43*$C$42)</f>
        <v>0</v>
      </c>
      <c r="E43" s="88">
        <f t="shared" ref="E43:M44" si="22">E$15*$B43*(1-E$19)/($C43*$C42)</f>
        <v>0</v>
      </c>
      <c r="F43" s="88">
        <f t="shared" si="22"/>
        <v>0</v>
      </c>
      <c r="G43" s="88">
        <f t="shared" si="22"/>
        <v>0</v>
      </c>
      <c r="H43" s="88">
        <f t="shared" si="22"/>
        <v>0</v>
      </c>
      <c r="I43" s="88">
        <f t="shared" si="22"/>
        <v>0</v>
      </c>
      <c r="J43" s="88">
        <f t="shared" si="22"/>
        <v>0</v>
      </c>
      <c r="K43" s="88">
        <f t="shared" si="22"/>
        <v>0</v>
      </c>
      <c r="L43" s="88">
        <f t="shared" si="22"/>
        <v>0</v>
      </c>
      <c r="M43" s="88">
        <f t="shared" si="22"/>
        <v>0</v>
      </c>
      <c r="N43" s="78"/>
      <c r="O43" s="78"/>
      <c r="P43" s="93"/>
      <c r="Q43" s="91"/>
      <c r="R43" s="78"/>
      <c r="S43" s="78"/>
    </row>
    <row r="44" spans="1:19" ht="14.4" thickBot="1">
      <c r="A44" s="1">
        <v>4</v>
      </c>
      <c r="B44" s="92">
        <v>0</v>
      </c>
      <c r="C44" s="87">
        <f>$C$43-$B$44*$D$19</f>
        <v>0.68350194552529187</v>
      </c>
      <c r="D44" s="94">
        <f>D$15*$B44*(1-D$19)/($C$44*$C$43)</f>
        <v>0</v>
      </c>
      <c r="E44" s="94">
        <f t="shared" si="22"/>
        <v>0</v>
      </c>
      <c r="F44" s="94">
        <f t="shared" si="22"/>
        <v>0</v>
      </c>
      <c r="G44" s="94">
        <f t="shared" si="22"/>
        <v>0</v>
      </c>
      <c r="H44" s="94">
        <f t="shared" si="22"/>
        <v>0</v>
      </c>
      <c r="I44" s="94">
        <f t="shared" si="22"/>
        <v>0</v>
      </c>
      <c r="J44" s="94">
        <f t="shared" si="22"/>
        <v>0</v>
      </c>
      <c r="K44" s="94">
        <f t="shared" si="22"/>
        <v>0</v>
      </c>
      <c r="L44" s="94">
        <f t="shared" si="22"/>
        <v>0</v>
      </c>
      <c r="M44" s="94">
        <f t="shared" si="22"/>
        <v>0</v>
      </c>
      <c r="N44" s="78"/>
      <c r="O44" s="78"/>
      <c r="P44" s="93"/>
      <c r="Q44" s="91"/>
      <c r="R44" s="78"/>
      <c r="S44" s="78"/>
    </row>
    <row r="45" spans="1:19">
      <c r="B45" s="95"/>
      <c r="C45" s="96" t="s">
        <v>42</v>
      </c>
      <c r="D45" s="88">
        <f>SUM(D41:D44)</f>
        <v>0.14655557184887141</v>
      </c>
      <c r="E45" s="88">
        <f t="shared" ref="E45:M45" si="23">SUM(E41:E44)</f>
        <v>1.9415837520411875E-2</v>
      </c>
      <c r="F45" s="88">
        <f t="shared" si="23"/>
        <v>2.2325299749862641E-2</v>
      </c>
      <c r="G45" s="88">
        <f t="shared" si="23"/>
        <v>5.1477482060293997E-2</v>
      </c>
      <c r="H45" s="88">
        <f t="shared" si="23"/>
        <v>3.7235887687170684E-2</v>
      </c>
      <c r="I45" s="88">
        <f t="shared" si="23"/>
        <v>1.2155848118847828E-2</v>
      </c>
      <c r="J45" s="88">
        <f t="shared" si="23"/>
        <v>1.6213934966250034E-2</v>
      </c>
      <c r="K45" s="88">
        <f t="shared" si="23"/>
        <v>1.3673498828536197E-2</v>
      </c>
      <c r="L45" s="88">
        <f t="shared" si="23"/>
        <v>2.4327585435429511E-2</v>
      </c>
      <c r="M45" s="88">
        <f t="shared" si="23"/>
        <v>1.0369874512651332E-3</v>
      </c>
      <c r="N45" s="78"/>
      <c r="O45" s="78"/>
      <c r="P45" s="93"/>
      <c r="Q45" s="91"/>
      <c r="R45" s="78"/>
      <c r="S45" s="78"/>
    </row>
    <row r="46" spans="1:19">
      <c r="C46" s="126" t="s">
        <v>40</v>
      </c>
      <c r="D46" s="127" t="s">
        <v>37</v>
      </c>
      <c r="E46" s="127" t="s">
        <v>37</v>
      </c>
      <c r="F46" s="127" t="s">
        <v>37</v>
      </c>
      <c r="G46" s="127" t="s">
        <v>37</v>
      </c>
      <c r="H46" s="127" t="s">
        <v>37</v>
      </c>
      <c r="I46" s="127" t="s">
        <v>37</v>
      </c>
      <c r="J46" s="127" t="s">
        <v>37</v>
      </c>
      <c r="K46" s="127" t="s">
        <v>37</v>
      </c>
      <c r="L46" s="127" t="s">
        <v>37</v>
      </c>
      <c r="M46" s="127" t="s">
        <v>37</v>
      </c>
      <c r="N46" s="78"/>
      <c r="O46" s="78"/>
      <c r="P46" s="78"/>
      <c r="Q46" s="78"/>
      <c r="R46" s="78"/>
      <c r="S46" s="78"/>
    </row>
    <row r="47" spans="1:19" ht="14.4" thickBot="1">
      <c r="A47" s="13" t="s">
        <v>2</v>
      </c>
      <c r="B47" s="97">
        <f>1-SUM(B48:B50)</f>
        <v>0.19999999999999996</v>
      </c>
      <c r="C47" s="98"/>
      <c r="D47" s="88">
        <f>D$41/(IF($B$41&gt;0,$B$41,1)*D$13)</f>
        <v>0.39441958834892088</v>
      </c>
      <c r="E47" s="88">
        <f t="shared" ref="E47:M47" si="24">E$41/(IF($B$41&gt;0,$B$41,1)*E$13)</f>
        <v>4.1413725536556575E-2</v>
      </c>
      <c r="F47" s="88">
        <f t="shared" si="24"/>
        <v>4.5327136139209551E-2</v>
      </c>
      <c r="G47" s="88">
        <f t="shared" si="24"/>
        <v>0.23375771656535604</v>
      </c>
      <c r="H47" s="88">
        <f t="shared" si="24"/>
        <v>0.19880997199785785</v>
      </c>
      <c r="I47" s="88">
        <f t="shared" si="24"/>
        <v>3.0568058406970817E-2</v>
      </c>
      <c r="J47" s="88">
        <f t="shared" si="24"/>
        <v>3.6851568273077437E-2</v>
      </c>
      <c r="K47" s="88">
        <f t="shared" si="24"/>
        <v>3.2995191842054974E-2</v>
      </c>
      <c r="L47" s="88">
        <f t="shared" si="24"/>
        <v>0.16069664565875633</v>
      </c>
      <c r="M47" s="88">
        <f t="shared" si="24"/>
        <v>3.317753062865407E-2</v>
      </c>
    </row>
    <row r="48" spans="1:19" ht="14.4" thickBot="1">
      <c r="A48" s="1">
        <v>2</v>
      </c>
      <c r="B48" s="99">
        <f>$B$42</f>
        <v>0.8</v>
      </c>
      <c r="C48" s="98"/>
      <c r="D48" s="88">
        <f>D$42/(IF($B$42&gt;0,$B$42,1)*D$13)</f>
        <v>0.57705700902694212</v>
      </c>
      <c r="E48" s="88">
        <f t="shared" ref="E48:M48" si="25">E$42/(IF($B$42&gt;0,$B$42,1)*E$13)</f>
        <v>6.0590501325828543E-2</v>
      </c>
      <c r="F48" s="88">
        <f t="shared" si="25"/>
        <v>6.631603089933312E-2</v>
      </c>
      <c r="G48" s="88">
        <f t="shared" si="25"/>
        <v>0.34200007490206363</v>
      </c>
      <c r="H48" s="88">
        <f t="shared" si="25"/>
        <v>0.29086965048075519</v>
      </c>
      <c r="I48" s="88">
        <f t="shared" si="25"/>
        <v>4.4722708701989633E-2</v>
      </c>
      <c r="J48" s="88">
        <f t="shared" si="25"/>
        <v>5.3915820597636929E-2</v>
      </c>
      <c r="K48" s="88">
        <f t="shared" si="25"/>
        <v>4.8273735075760715E-2</v>
      </c>
      <c r="L48" s="88">
        <f t="shared" si="25"/>
        <v>0.23510781016907875</v>
      </c>
      <c r="M48" s="88">
        <f t="shared" si="25"/>
        <v>4.854050649871397E-2</v>
      </c>
    </row>
    <row r="49" spans="1:13" ht="14.4" thickBot="1">
      <c r="A49" s="1">
        <v>3</v>
      </c>
      <c r="B49" s="99">
        <f>$B$43</f>
        <v>0</v>
      </c>
      <c r="C49" s="98"/>
      <c r="D49" s="88">
        <f>D$43/(IF($B$43&gt;0,$B$43,1)*D$13)</f>
        <v>0</v>
      </c>
      <c r="E49" s="88">
        <f t="shared" ref="E49:M49" si="26">E$43/(IF($B$43&gt;0,$B$43,1)*E$13)</f>
        <v>0</v>
      </c>
      <c r="F49" s="88">
        <f t="shared" si="26"/>
        <v>0</v>
      </c>
      <c r="G49" s="88">
        <f t="shared" si="26"/>
        <v>0</v>
      </c>
      <c r="H49" s="88">
        <f t="shared" si="26"/>
        <v>0</v>
      </c>
      <c r="I49" s="88">
        <f t="shared" si="26"/>
        <v>0</v>
      </c>
      <c r="J49" s="88">
        <f t="shared" si="26"/>
        <v>0</v>
      </c>
      <c r="K49" s="88">
        <f t="shared" si="26"/>
        <v>0</v>
      </c>
      <c r="L49" s="88">
        <f t="shared" si="26"/>
        <v>0</v>
      </c>
      <c r="M49" s="88">
        <f t="shared" si="26"/>
        <v>0</v>
      </c>
    </row>
    <row r="50" spans="1:13" ht="14.4" thickBot="1">
      <c r="A50" s="1">
        <v>4</v>
      </c>
      <c r="B50" s="99">
        <f>$B$44</f>
        <v>0</v>
      </c>
      <c r="C50" s="98"/>
      <c r="D50" s="94">
        <f>D$44/(IF($B$44&gt;0,$B$44,1)*D$13)</f>
        <v>0</v>
      </c>
      <c r="E50" s="94">
        <f t="shared" ref="E50:M50" si="27">E$44/(IF($B$44&gt;0,$B$44,1)*E$13)</f>
        <v>0</v>
      </c>
      <c r="F50" s="94">
        <f t="shared" si="27"/>
        <v>0</v>
      </c>
      <c r="G50" s="94">
        <f t="shared" si="27"/>
        <v>0</v>
      </c>
      <c r="H50" s="94">
        <f t="shared" si="27"/>
        <v>0</v>
      </c>
      <c r="I50" s="94">
        <f t="shared" si="27"/>
        <v>0</v>
      </c>
      <c r="J50" s="94">
        <f t="shared" si="27"/>
        <v>0</v>
      </c>
      <c r="K50" s="94">
        <f t="shared" si="27"/>
        <v>0</v>
      </c>
      <c r="L50" s="94">
        <f t="shared" si="27"/>
        <v>0</v>
      </c>
      <c r="M50" s="94">
        <f t="shared" si="27"/>
        <v>0</v>
      </c>
    </row>
    <row r="51" spans="1:13" hidden="1">
      <c r="B51" s="100"/>
      <c r="C51" s="96" t="s">
        <v>42</v>
      </c>
      <c r="D51" s="88">
        <f>SUM(D47:D50)</f>
        <v>0.971476597375863</v>
      </c>
      <c r="E51" s="88">
        <f t="shared" ref="E51:M51" si="28">SUM(E47:E50)</f>
        <v>0.10200422686238511</v>
      </c>
      <c r="F51" s="88">
        <f t="shared" si="28"/>
        <v>0.11164316703854267</v>
      </c>
      <c r="G51" s="88">
        <f t="shared" si="28"/>
        <v>0.57575779146741968</v>
      </c>
      <c r="H51" s="88">
        <f t="shared" si="28"/>
        <v>0.48967962247861307</v>
      </c>
      <c r="I51" s="88">
        <f t="shared" si="28"/>
        <v>7.5290767108960446E-2</v>
      </c>
      <c r="J51" s="88">
        <f t="shared" si="28"/>
        <v>9.0767388870714366E-2</v>
      </c>
      <c r="K51" s="88">
        <f t="shared" si="28"/>
        <v>8.126892691781569E-2</v>
      </c>
      <c r="L51" s="88">
        <f t="shared" si="28"/>
        <v>0.39580445582783508</v>
      </c>
      <c r="M51" s="88">
        <f t="shared" si="28"/>
        <v>8.171803712736804E-2</v>
      </c>
    </row>
    <row r="52" spans="1:13">
      <c r="B52" s="100"/>
      <c r="C52" s="101" t="s">
        <v>24</v>
      </c>
      <c r="D52" s="119" t="str">
        <f>TRUNC(D51)&amp;"min "&amp;ROUND((D51-TRUNC(D51))*60,0)&amp;"sec"</f>
        <v>0min 58sec</v>
      </c>
      <c r="E52" s="119" t="str">
        <f t="shared" ref="E52:M52" si="29">TRUNC(E51)&amp;"min "&amp;ROUND((E51-TRUNC(E51))*60,0)&amp;"sec"</f>
        <v>0min 6sec</v>
      </c>
      <c r="F52" s="119" t="str">
        <f t="shared" si="29"/>
        <v>0min 7sec</v>
      </c>
      <c r="G52" s="119" t="str">
        <f t="shared" si="29"/>
        <v>0min 35sec</v>
      </c>
      <c r="H52" s="119" t="str">
        <f t="shared" si="29"/>
        <v>0min 29sec</v>
      </c>
      <c r="I52" s="119" t="str">
        <f t="shared" si="29"/>
        <v>0min 5sec</v>
      </c>
      <c r="J52" s="119" t="str">
        <f t="shared" si="29"/>
        <v>0min 5sec</v>
      </c>
      <c r="K52" s="119" t="str">
        <f t="shared" si="29"/>
        <v>0min 5sec</v>
      </c>
      <c r="L52" s="119" t="str">
        <f t="shared" si="29"/>
        <v>0min 24sec</v>
      </c>
      <c r="M52" s="119" t="str">
        <f t="shared" si="29"/>
        <v>0min 5sec</v>
      </c>
    </row>
    <row r="53" spans="1:13" ht="27.6">
      <c r="B53" s="100"/>
      <c r="C53" s="102" t="s">
        <v>44</v>
      </c>
      <c r="D53" s="116" t="str">
        <f>TRUNC(D51-D16)&amp;"min "&amp;ROUND(((D51-D16)-TRUNC(D51-D16))*60,0)&amp;"sec"</f>
        <v>0min 26sec</v>
      </c>
      <c r="E53" s="116" t="str">
        <f t="shared" ref="E53:M53" si="30">TRUNC(E51-E16)&amp;"min "&amp;ROUND(((E51-E16)-TRUNC(E51-E16))*60,0)&amp;"sec"</f>
        <v>0min 3sec</v>
      </c>
      <c r="F53" s="116" t="str">
        <f t="shared" si="30"/>
        <v>0min 3sec</v>
      </c>
      <c r="G53" s="116" t="str">
        <f t="shared" si="30"/>
        <v>0min 18sec</v>
      </c>
      <c r="H53" s="116" t="str">
        <f t="shared" si="30"/>
        <v>0min 16sec</v>
      </c>
      <c r="I53" s="116" t="str">
        <f t="shared" si="30"/>
        <v>0min 2sec</v>
      </c>
      <c r="J53" s="116" t="str">
        <f t="shared" si="30"/>
        <v>0min 3sec</v>
      </c>
      <c r="K53" s="116" t="str">
        <f t="shared" si="30"/>
        <v>0min 3sec</v>
      </c>
      <c r="L53" s="116" t="str">
        <f t="shared" si="30"/>
        <v>0min 13sec</v>
      </c>
      <c r="M53" s="116" t="str">
        <f t="shared" si="30"/>
        <v>0min 3sec</v>
      </c>
    </row>
    <row r="54" spans="1:13">
      <c r="B54" s="103"/>
      <c r="C54" s="104" t="s">
        <v>11</v>
      </c>
      <c r="D54" s="122" t="str">
        <f>IF(AND(D60&lt;1,E60&lt;1,F60&lt;1,G60&lt;1,H60&lt;1,I60,1,J60,1,K60&lt;1,L60&lt;1,M60&lt;1),"Status is OK! Number of people in line is unchanged","Attention! Changes result in the number of people in line to increase")</f>
        <v>Status is OK! Number of people in line is unchanged</v>
      </c>
      <c r="F54" s="80"/>
      <c r="G54" s="80"/>
      <c r="H54" s="80"/>
      <c r="I54" s="122" t="str">
        <f>IF(OR((D$66-D$28)&gt;1,(E$66-E$28)&gt;1,(F$66-F$28)&gt;1,(G$66-G$28)&gt;1,(H$66-H$28)&gt;1,(I$66-I$28)&gt;1,(J$66-J$28)&gt;1,(K$66-K$28)&gt;1,(L$66-L$28)&gt;1,(M$66-M$28)&gt;1),"Attention! The line's waiting time increased","")</f>
        <v/>
      </c>
    </row>
    <row r="55" spans="1:13">
      <c r="B55" s="103"/>
      <c r="C55" s="105" t="s">
        <v>39</v>
      </c>
      <c r="D55" s="65" t="s">
        <v>36</v>
      </c>
      <c r="E55" s="65" t="s">
        <v>36</v>
      </c>
      <c r="F55" s="65" t="s">
        <v>36</v>
      </c>
      <c r="G55" s="65" t="s">
        <v>36</v>
      </c>
      <c r="H55" s="65" t="s">
        <v>36</v>
      </c>
      <c r="I55" s="65" t="s">
        <v>36</v>
      </c>
      <c r="J55" s="65" t="s">
        <v>36</v>
      </c>
      <c r="K55" s="65" t="s">
        <v>36</v>
      </c>
      <c r="L55" s="65" t="s">
        <v>36</v>
      </c>
      <c r="M55" s="65" t="s">
        <v>36</v>
      </c>
    </row>
    <row r="56" spans="1:13" ht="14.4" thickBot="1">
      <c r="A56" s="13" t="s">
        <v>2</v>
      </c>
      <c r="B56" s="97">
        <f>1-SUM(B57:B59)</f>
        <v>0.19999999999999996</v>
      </c>
      <c r="C56" s="106">
        <f>1-$B$41*$D$31</f>
        <v>0.90823371334242975</v>
      </c>
      <c r="D56" s="107">
        <f>D$27*$B$41*(1-D$31)/($C$56)</f>
        <v>2.9161962548693115E-2</v>
      </c>
      <c r="E56" s="107">
        <f t="shared" ref="E56:M56" si="31">E$27*$B$41*(1-E$31)/($C$56)</f>
        <v>3.4478564326931305E-2</v>
      </c>
      <c r="F56" s="107">
        <f t="shared" si="31"/>
        <v>8.3054842140430768E-3</v>
      </c>
      <c r="G56" s="107">
        <f t="shared" si="31"/>
        <v>7.5398775210890013E-3</v>
      </c>
      <c r="H56" s="107">
        <f t="shared" si="31"/>
        <v>7.6449407027159482E-3</v>
      </c>
      <c r="I56" s="107">
        <f t="shared" si="31"/>
        <v>2.6700795527509574E-2</v>
      </c>
      <c r="J56" s="107">
        <f t="shared" si="31"/>
        <v>3.4478564326931305E-2</v>
      </c>
      <c r="K56" s="107">
        <f t="shared" si="31"/>
        <v>7.5398775210890013E-3</v>
      </c>
      <c r="L56" s="107">
        <f t="shared" si="31"/>
        <v>1.8124310759144821E-2</v>
      </c>
      <c r="M56" s="107">
        <f t="shared" si="31"/>
        <v>1.7366720514943941E-3</v>
      </c>
    </row>
    <row r="57" spans="1:13" ht="14.4" thickBot="1">
      <c r="A57" s="1">
        <v>2</v>
      </c>
      <c r="B57" s="99">
        <f>$B$42</f>
        <v>0.8</v>
      </c>
      <c r="C57" s="106">
        <f>$C$56-$B$42*$D$31</f>
        <v>0.54116856671214864</v>
      </c>
      <c r="D57" s="107">
        <f>D$27*$B$42*(1-D$31)/($C$57*$C$56)</f>
        <v>0.21554808865463596</v>
      </c>
      <c r="E57" s="107">
        <f t="shared" ref="E57:M57" si="32">E$27*$B$42*(1-E$31)/($C$57*$C$56)</f>
        <v>0.25484528442887711</v>
      </c>
      <c r="F57" s="107">
        <f t="shared" si="32"/>
        <v>6.1389258171462298E-2</v>
      </c>
      <c r="G57" s="107">
        <f t="shared" si="32"/>
        <v>5.5730343444722046E-2</v>
      </c>
      <c r="H57" s="107">
        <f t="shared" si="32"/>
        <v>5.650690873760484E-2</v>
      </c>
      <c r="I57" s="107">
        <f t="shared" si="32"/>
        <v>0.19735658846358622</v>
      </c>
      <c r="J57" s="107">
        <f t="shared" si="32"/>
        <v>0.25484528442887711</v>
      </c>
      <c r="K57" s="107">
        <f t="shared" si="32"/>
        <v>5.5730343444722046E-2</v>
      </c>
      <c r="L57" s="107">
        <f t="shared" si="32"/>
        <v>0.13396425346178892</v>
      </c>
      <c r="M57" s="107">
        <f t="shared" si="32"/>
        <v>1.2836459161295985E-2</v>
      </c>
    </row>
    <row r="58" spans="1:13" ht="14.4" thickBot="1">
      <c r="A58" s="1">
        <v>3</v>
      </c>
      <c r="B58" s="99">
        <f>$B$43</f>
        <v>0</v>
      </c>
      <c r="C58" s="106">
        <f>$C$57-$B$43*$D$31</f>
        <v>0.54116856671214864</v>
      </c>
      <c r="D58" s="107">
        <f>D$27*$B$43*(1-D$31)/($C$58*$C$57)</f>
        <v>0</v>
      </c>
      <c r="E58" s="107">
        <f t="shared" ref="E58:M58" si="33">E$27*$B$43*(1-E$31)/($C$58*$C$57)</f>
        <v>0</v>
      </c>
      <c r="F58" s="107">
        <f t="shared" si="33"/>
        <v>0</v>
      </c>
      <c r="G58" s="107">
        <f t="shared" si="33"/>
        <v>0</v>
      </c>
      <c r="H58" s="107">
        <f t="shared" si="33"/>
        <v>0</v>
      </c>
      <c r="I58" s="107">
        <f t="shared" si="33"/>
        <v>0</v>
      </c>
      <c r="J58" s="107">
        <f t="shared" si="33"/>
        <v>0</v>
      </c>
      <c r="K58" s="107">
        <f t="shared" si="33"/>
        <v>0</v>
      </c>
      <c r="L58" s="107">
        <f t="shared" si="33"/>
        <v>0</v>
      </c>
      <c r="M58" s="107">
        <f t="shared" si="33"/>
        <v>0</v>
      </c>
    </row>
    <row r="59" spans="1:13" ht="14.4" thickBot="1">
      <c r="A59" s="1">
        <v>4</v>
      </c>
      <c r="B59" s="99">
        <f>$B$44</f>
        <v>0</v>
      </c>
      <c r="C59" s="106">
        <f>$C$58-$B$44*$D$31</f>
        <v>0.54116856671214864</v>
      </c>
      <c r="D59" s="108">
        <f>D$27*$B$44*(1-D$31)/($C$59*$C$58)</f>
        <v>0</v>
      </c>
      <c r="E59" s="108">
        <f t="shared" ref="E59:M59" si="34">E$27*$B$44*(1-E$31)/($C$59*$C$58)</f>
        <v>0</v>
      </c>
      <c r="F59" s="108">
        <f t="shared" si="34"/>
        <v>0</v>
      </c>
      <c r="G59" s="108">
        <f t="shared" si="34"/>
        <v>0</v>
      </c>
      <c r="H59" s="108">
        <f t="shared" si="34"/>
        <v>0</v>
      </c>
      <c r="I59" s="108">
        <f t="shared" si="34"/>
        <v>0</v>
      </c>
      <c r="J59" s="108">
        <f t="shared" si="34"/>
        <v>0</v>
      </c>
      <c r="K59" s="108">
        <f t="shared" si="34"/>
        <v>0</v>
      </c>
      <c r="L59" s="108">
        <f t="shared" si="34"/>
        <v>0</v>
      </c>
      <c r="M59" s="108">
        <f t="shared" si="34"/>
        <v>0</v>
      </c>
    </row>
    <row r="60" spans="1:13">
      <c r="B60" s="100"/>
      <c r="C60" s="55" t="s">
        <v>42</v>
      </c>
      <c r="D60" s="107">
        <f>SUM(D56:D59)</f>
        <v>0.24471005120332906</v>
      </c>
      <c r="E60" s="107">
        <f t="shared" ref="E60:M60" si="35">SUM(E56:E59)</f>
        <v>0.28932384875580841</v>
      </c>
      <c r="F60" s="107">
        <f t="shared" si="35"/>
        <v>6.9694742385505382E-2</v>
      </c>
      <c r="G60" s="107">
        <f t="shared" si="35"/>
        <v>6.3270220965811044E-2</v>
      </c>
      <c r="H60" s="107">
        <f t="shared" si="35"/>
        <v>6.4151849440320791E-2</v>
      </c>
      <c r="I60" s="107">
        <f t="shared" si="35"/>
        <v>0.22405738399109579</v>
      </c>
      <c r="J60" s="107">
        <f t="shared" si="35"/>
        <v>0.28932384875580841</v>
      </c>
      <c r="K60" s="107">
        <f t="shared" si="35"/>
        <v>6.3270220965811044E-2</v>
      </c>
      <c r="L60" s="107">
        <f t="shared" si="35"/>
        <v>0.15208856422093375</v>
      </c>
      <c r="M60" s="107">
        <f t="shared" si="35"/>
        <v>1.4573131212790379E-2</v>
      </c>
    </row>
    <row r="61" spans="1:13">
      <c r="B61" s="103"/>
      <c r="C61" s="124" t="s">
        <v>40</v>
      </c>
      <c r="D61" s="125" t="s">
        <v>37</v>
      </c>
      <c r="E61" s="125" t="s">
        <v>37</v>
      </c>
      <c r="F61" s="125" t="s">
        <v>37</v>
      </c>
      <c r="G61" s="125" t="s">
        <v>37</v>
      </c>
      <c r="H61" s="125" t="s">
        <v>37</v>
      </c>
      <c r="I61" s="125" t="s">
        <v>37</v>
      </c>
      <c r="J61" s="125" t="s">
        <v>37</v>
      </c>
      <c r="K61" s="125" t="s">
        <v>37</v>
      </c>
      <c r="L61" s="125" t="s">
        <v>37</v>
      </c>
      <c r="M61" s="125" t="s">
        <v>37</v>
      </c>
    </row>
    <row r="62" spans="1:13" ht="14.4" thickBot="1">
      <c r="A62" s="13" t="s">
        <v>2</v>
      </c>
      <c r="B62" s="97">
        <f>1-SUM(B63:B65)</f>
        <v>0.19999999999999996</v>
      </c>
      <c r="C62" s="109"/>
      <c r="D62" s="107">
        <f>D$56/(IF($B$41&gt;0,$B$41,1)*D$25)</f>
        <v>0.28221254079380437</v>
      </c>
      <c r="E62" s="107">
        <f t="shared" ref="E62:M62" si="36">E$56/(IF($B$41&gt;0,$B$41,1)*E$25)</f>
        <v>0.31344149388119374</v>
      </c>
      <c r="F62" s="107">
        <f t="shared" si="36"/>
        <v>6.9212368450358996E-2</v>
      </c>
      <c r="G62" s="107">
        <f t="shared" si="36"/>
        <v>6.4627521609334299E-2</v>
      </c>
      <c r="H62" s="107">
        <f t="shared" si="36"/>
        <v>0.12070959004288344</v>
      </c>
      <c r="I62" s="107">
        <f t="shared" si="36"/>
        <v>0.2670079552750958</v>
      </c>
      <c r="J62" s="107">
        <f t="shared" si="36"/>
        <v>0.31344149388119374</v>
      </c>
      <c r="K62" s="107">
        <f t="shared" si="36"/>
        <v>6.4627521609334299E-2</v>
      </c>
      <c r="L62" s="107">
        <f t="shared" si="36"/>
        <v>0.20912666260551718</v>
      </c>
      <c r="M62" s="107">
        <f t="shared" si="36"/>
        <v>0.17366720514943945</v>
      </c>
    </row>
    <row r="63" spans="1:13" ht="14.4" thickBot="1">
      <c r="A63" s="1">
        <v>2</v>
      </c>
      <c r="B63" s="99">
        <f>$B$42</f>
        <v>0.8</v>
      </c>
      <c r="C63" s="109"/>
      <c r="D63" s="107">
        <f>D$57/(IF($B$42&gt;0,$B$42,1)*D$25)</f>
        <v>0.52148731126121595</v>
      </c>
      <c r="E63" s="107">
        <f t="shared" ref="E63:M63" si="37">E$57/(IF($B$42&gt;0,$B$42,1)*E$25)</f>
        <v>0.57919382824744792</v>
      </c>
      <c r="F63" s="107">
        <f t="shared" si="37"/>
        <v>0.12789428785721313</v>
      </c>
      <c r="G63" s="107">
        <f t="shared" si="37"/>
        <v>0.11942216452440436</v>
      </c>
      <c r="H63" s="107">
        <f t="shared" si="37"/>
        <v>0.22305358712212434</v>
      </c>
      <c r="I63" s="107">
        <f t="shared" si="37"/>
        <v>0.49339147115896553</v>
      </c>
      <c r="J63" s="107">
        <f t="shared" si="37"/>
        <v>0.57919382824744792</v>
      </c>
      <c r="K63" s="107">
        <f t="shared" si="37"/>
        <v>0.11942216452440436</v>
      </c>
      <c r="L63" s="107">
        <f t="shared" si="37"/>
        <v>0.3864353465243911</v>
      </c>
      <c r="M63" s="107">
        <f t="shared" si="37"/>
        <v>0.32091147903239958</v>
      </c>
    </row>
    <row r="64" spans="1:13" ht="14.4" thickBot="1">
      <c r="A64" s="1">
        <v>3</v>
      </c>
      <c r="B64" s="99">
        <f>$B$43</f>
        <v>0</v>
      </c>
      <c r="C64" s="109"/>
      <c r="D64" s="107">
        <f>D$58/(IF($B$43&gt;0,$B$43,1)*D$25)</f>
        <v>0</v>
      </c>
      <c r="E64" s="107">
        <f t="shared" ref="E64:M64" si="38">E$58/(IF($B$43&gt;0,$B$43,1)*E$25)</f>
        <v>0</v>
      </c>
      <c r="F64" s="107">
        <f t="shared" si="38"/>
        <v>0</v>
      </c>
      <c r="G64" s="107">
        <f t="shared" si="38"/>
        <v>0</v>
      </c>
      <c r="H64" s="107">
        <f t="shared" si="38"/>
        <v>0</v>
      </c>
      <c r="I64" s="107">
        <f t="shared" si="38"/>
        <v>0</v>
      </c>
      <c r="J64" s="107">
        <f t="shared" si="38"/>
        <v>0</v>
      </c>
      <c r="K64" s="107">
        <f t="shared" si="38"/>
        <v>0</v>
      </c>
      <c r="L64" s="107">
        <f t="shared" si="38"/>
        <v>0</v>
      </c>
      <c r="M64" s="107">
        <f t="shared" si="38"/>
        <v>0</v>
      </c>
    </row>
    <row r="65" spans="1:13" ht="14.4" thickBot="1">
      <c r="A65" s="1">
        <v>4</v>
      </c>
      <c r="B65" s="99">
        <f>$B$44</f>
        <v>0</v>
      </c>
      <c r="C65" s="54"/>
      <c r="D65" s="108">
        <f>D$59/(IF($B$44&gt;0,$B$44,1)*D$25)</f>
        <v>0</v>
      </c>
      <c r="E65" s="108">
        <f t="shared" ref="E65:M65" si="39">E$59/(IF($B$44&gt;0,$B$44,1)*E$25)</f>
        <v>0</v>
      </c>
      <c r="F65" s="108">
        <f t="shared" si="39"/>
        <v>0</v>
      </c>
      <c r="G65" s="108">
        <f t="shared" si="39"/>
        <v>0</v>
      </c>
      <c r="H65" s="108">
        <f t="shared" si="39"/>
        <v>0</v>
      </c>
      <c r="I65" s="108">
        <f t="shared" si="39"/>
        <v>0</v>
      </c>
      <c r="J65" s="108">
        <f t="shared" si="39"/>
        <v>0</v>
      </c>
      <c r="K65" s="108">
        <f t="shared" si="39"/>
        <v>0</v>
      </c>
      <c r="L65" s="108">
        <f t="shared" si="39"/>
        <v>0</v>
      </c>
      <c r="M65" s="108">
        <f t="shared" si="39"/>
        <v>0</v>
      </c>
    </row>
    <row r="66" spans="1:13" hidden="1">
      <c r="B66" s="100"/>
      <c r="C66" s="55" t="s">
        <v>42</v>
      </c>
      <c r="D66" s="107">
        <f>SUM(D62:D65)</f>
        <v>0.80369985205502026</v>
      </c>
      <c r="E66" s="107">
        <f t="shared" ref="E66:M66" si="40">SUM(E62:E65)</f>
        <v>0.89263532212864161</v>
      </c>
      <c r="F66" s="107">
        <f t="shared" si="40"/>
        <v>0.19710665630757213</v>
      </c>
      <c r="G66" s="107">
        <f t="shared" si="40"/>
        <v>0.18404968613373868</v>
      </c>
      <c r="H66" s="107">
        <f t="shared" si="40"/>
        <v>0.34376317716500776</v>
      </c>
      <c r="I66" s="107">
        <f t="shared" si="40"/>
        <v>0.76039942643406133</v>
      </c>
      <c r="J66" s="107">
        <f t="shared" si="40"/>
        <v>0.89263532212864161</v>
      </c>
      <c r="K66" s="107">
        <f t="shared" si="40"/>
        <v>0.18404968613373868</v>
      </c>
      <c r="L66" s="107">
        <f t="shared" si="40"/>
        <v>0.59556200912990831</v>
      </c>
      <c r="M66" s="107">
        <f t="shared" si="40"/>
        <v>0.49457868418183903</v>
      </c>
    </row>
    <row r="67" spans="1:13">
      <c r="B67" s="100"/>
      <c r="C67" s="110" t="s">
        <v>24</v>
      </c>
      <c r="D67" s="120" t="str">
        <f>TRUNC(D66)&amp;"min "&amp;ROUND((D66-TRUNC(D66))*60,0)&amp;"sec"</f>
        <v>0min 48sec</v>
      </c>
      <c r="E67" s="120" t="str">
        <f t="shared" ref="E67:M67" si="41">TRUNC(E66)&amp;"min "&amp;ROUND((E66-TRUNC(E66))*60,0)&amp;"sec"</f>
        <v>0min 54sec</v>
      </c>
      <c r="F67" s="120" t="str">
        <f t="shared" si="41"/>
        <v>0min 12sec</v>
      </c>
      <c r="G67" s="120" t="str">
        <f t="shared" si="41"/>
        <v>0min 11sec</v>
      </c>
      <c r="H67" s="120" t="str">
        <f t="shared" si="41"/>
        <v>0min 21sec</v>
      </c>
      <c r="I67" s="120" t="str">
        <f t="shared" si="41"/>
        <v>0min 46sec</v>
      </c>
      <c r="J67" s="120" t="str">
        <f t="shared" si="41"/>
        <v>0min 54sec</v>
      </c>
      <c r="K67" s="120" t="str">
        <f t="shared" si="41"/>
        <v>0min 11sec</v>
      </c>
      <c r="L67" s="120" t="str">
        <f t="shared" si="41"/>
        <v>0min 36sec</v>
      </c>
      <c r="M67" s="120" t="str">
        <f t="shared" si="41"/>
        <v>0min 30sec</v>
      </c>
    </row>
    <row r="68" spans="1:13" ht="27.6">
      <c r="B68" s="100"/>
      <c r="C68" s="111" t="s">
        <v>43</v>
      </c>
      <c r="D68" s="123" t="str">
        <f>TRUNC(D66-D28)&amp;"min "&amp;ROUND(((D66-D28)-TRUNC(D66-D28))*60,0)&amp;"sec"</f>
        <v>0min 20sec</v>
      </c>
      <c r="E68" s="123" t="str">
        <f t="shared" ref="E68:M68" si="42">TRUNC(E66-E28)&amp;"min "&amp;ROUND(((E66-E28)-TRUNC(E66-E28))*60,0)&amp;"sec"</f>
        <v>0min 20sec</v>
      </c>
      <c r="F68" s="123" t="str">
        <f t="shared" si="42"/>
        <v>0min 6sec</v>
      </c>
      <c r="G68" s="123" t="str">
        <f t="shared" si="42"/>
        <v>0min 6sec</v>
      </c>
      <c r="H68" s="123" t="str">
        <f t="shared" si="42"/>
        <v>0min 11sec</v>
      </c>
      <c r="I68" s="123" t="str">
        <f t="shared" si="42"/>
        <v>0min 19sec</v>
      </c>
      <c r="J68" s="123" t="str">
        <f t="shared" si="42"/>
        <v>0min 20sec</v>
      </c>
      <c r="K68" s="123" t="str">
        <f t="shared" si="42"/>
        <v>0min 6sec</v>
      </c>
      <c r="L68" s="123" t="str">
        <f t="shared" si="42"/>
        <v>0min 17sec</v>
      </c>
      <c r="M68" s="123" t="str">
        <f t="shared" si="42"/>
        <v>0min 19sec</v>
      </c>
    </row>
  </sheetData>
  <mergeCells count="1">
    <mergeCell ref="D5:E5"/>
  </mergeCells>
  <conditionalFormatting sqref="D31:M31">
    <cfRule type="cellIs" dxfId="44" priority="22" operator="greaterThanOrEqual">
      <formula>0.49</formula>
    </cfRule>
    <cfRule type="cellIs" dxfId="43" priority="26" operator="greaterThan">
      <formula>1</formula>
    </cfRule>
  </conditionalFormatting>
  <conditionalFormatting sqref="D15:M15">
    <cfRule type="cellIs" dxfId="42" priority="14" stopIfTrue="1" operator="greaterThan">
      <formula>5</formula>
    </cfRule>
  </conditionalFormatting>
  <conditionalFormatting sqref="D22:M22">
    <cfRule type="cellIs" dxfId="41" priority="21" stopIfTrue="1" operator="greaterThan">
      <formula>5</formula>
    </cfRule>
  </conditionalFormatting>
  <conditionalFormatting sqref="D34:M34 D36:M38">
    <cfRule type="cellIs" dxfId="40" priority="20" stopIfTrue="1" operator="greaterThan">
      <formula>5</formula>
    </cfRule>
  </conditionalFormatting>
  <conditionalFormatting sqref="D19:M19">
    <cfRule type="cellIs" dxfId="39" priority="23" operator="greaterThanOrEqual">
      <formula>0.49</formula>
    </cfRule>
    <cfRule type="cellIs" dxfId="38" priority="27" operator="greaterThan">
      <formula>1</formula>
    </cfRule>
  </conditionalFormatting>
  <conditionalFormatting sqref="D16:M16">
    <cfRule type="cellIs" dxfId="37" priority="19" stopIfTrue="1" operator="greaterThan">
      <formula>2.9</formula>
    </cfRule>
  </conditionalFormatting>
  <conditionalFormatting sqref="D17">
    <cfRule type="expression" dxfId="36" priority="18" stopIfTrue="1">
      <formula>D$16&gt;2.9</formula>
    </cfRule>
  </conditionalFormatting>
  <conditionalFormatting sqref="E17:M17">
    <cfRule type="expression" dxfId="35" priority="17" stopIfTrue="1">
      <formula>E$16&gt;2.9</formula>
    </cfRule>
  </conditionalFormatting>
  <conditionalFormatting sqref="D28:M28">
    <cfRule type="cellIs" dxfId="34" priority="16" stopIfTrue="1" operator="greaterThan">
      <formula>2.9</formula>
    </cfRule>
  </conditionalFormatting>
  <conditionalFormatting sqref="D29:M29">
    <cfRule type="expression" dxfId="33" priority="15" stopIfTrue="1">
      <formula>D$28&gt;2.9</formula>
    </cfRule>
  </conditionalFormatting>
  <conditionalFormatting sqref="D27:M27">
    <cfRule type="cellIs" dxfId="32" priority="13" stopIfTrue="1" operator="greaterThan">
      <formula>5</formula>
    </cfRule>
  </conditionalFormatting>
  <conditionalFormatting sqref="D39">
    <cfRule type="expression" dxfId="31" priority="7">
      <formula>IF(AND(D45&lt;1,E45&lt;1,F45&lt;1,G45&lt;1,H45&lt;1,I45&lt;1,J45&lt;1,K45&lt;1,L45&lt;1,M45&lt;1),FALSE,TRUE)</formula>
    </cfRule>
    <cfRule type="expression" dxfId="30" priority="8">
      <formula>AND(D45&lt;1,E45&lt;1,F45&lt;1,G45&lt;1,H45&lt;1,I45,1,J45,1,K45&lt;1,L45&lt;1,M45)</formula>
    </cfRule>
  </conditionalFormatting>
  <conditionalFormatting sqref="D45:M45">
    <cfRule type="cellIs" dxfId="29" priority="6" operator="greaterThan">
      <formula>0.99</formula>
    </cfRule>
  </conditionalFormatting>
  <conditionalFormatting sqref="D53:M53">
    <cfRule type="expression" dxfId="28" priority="5">
      <formula>(D$51-D$16)&gt;1</formula>
    </cfRule>
  </conditionalFormatting>
  <conditionalFormatting sqref="D54">
    <cfRule type="expression" dxfId="27" priority="3">
      <formula>IF(AND(D60&lt;1,E60&lt;1,F60&lt;1,G60&lt;1,H60&lt;1,I60&lt;1,J60&lt;1,K60&lt;1,L60&lt;1,M60&lt;1),FALSE,TRUE)</formula>
    </cfRule>
    <cfRule type="expression" dxfId="26" priority="4">
      <formula>AND(D60&lt;1,E60&lt;1,F60&lt;1,G60&lt;1,H60&lt;1,I60&lt;1,J60&lt;1,K60&lt;1,L60&lt;1,M60&lt;1)</formula>
    </cfRule>
  </conditionalFormatting>
  <conditionalFormatting sqref="D68:M68">
    <cfRule type="expression" dxfId="25" priority="2">
      <formula>(D$66-D$28)&gt;1</formula>
    </cfRule>
  </conditionalFormatting>
  <conditionalFormatting sqref="D23:M23">
    <cfRule type="expression" dxfId="24" priority="1" stopIfTrue="1">
      <formula>D$16&gt;2.9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3:S68"/>
  <sheetViews>
    <sheetView workbookViewId="0">
      <pane ySplit="10" topLeftCell="A11" activePane="bottomLeft" state="frozen"/>
      <selection activeCell="O31" sqref="O31"/>
      <selection pane="bottomLeft" activeCell="D14" sqref="D14"/>
    </sheetView>
  </sheetViews>
  <sheetFormatPr defaultRowHeight="13.8"/>
  <cols>
    <col min="1" max="1" width="16.33203125" style="1" customWidth="1"/>
    <col min="2" max="2" width="4.6640625" style="1" customWidth="1"/>
    <col min="3" max="3" width="31.44140625" style="1" customWidth="1"/>
    <col min="4" max="4" width="10" style="1" customWidth="1"/>
    <col min="5" max="5" width="10.5546875" style="1" bestFit="1" customWidth="1"/>
    <col min="6" max="6" width="10" style="1" bestFit="1" customWidth="1"/>
    <col min="7" max="12" width="10.5546875" style="1" bestFit="1" customWidth="1"/>
    <col min="13" max="13" width="8.33203125" style="1" customWidth="1"/>
    <col min="14" max="16" width="8.88671875" style="1"/>
    <col min="17" max="17" width="8.44140625" style="1" customWidth="1"/>
    <col min="18" max="16384" width="8.88671875" style="1"/>
  </cols>
  <sheetData>
    <row r="3" spans="1:16">
      <c r="A3" s="112"/>
    </row>
    <row r="4" spans="1:16" ht="14.4" thickBot="1">
      <c r="A4" s="112"/>
      <c r="B4" s="7"/>
      <c r="C4" s="7"/>
      <c r="D4" s="7"/>
      <c r="E4" s="7"/>
      <c r="F4" s="7"/>
      <c r="G4" s="7"/>
      <c r="H4" s="7"/>
      <c r="I4" s="7"/>
      <c r="J4" s="7"/>
      <c r="K4" s="112"/>
      <c r="L4" s="112"/>
      <c r="M4" s="112"/>
    </row>
    <row r="5" spans="1:16" ht="14.4" thickBot="1">
      <c r="A5" s="112"/>
      <c r="B5" s="7"/>
      <c r="C5" s="8" t="s">
        <v>35</v>
      </c>
      <c r="D5" s="206" t="s">
        <v>30</v>
      </c>
      <c r="E5" s="207"/>
      <c r="F5" s="9" t="s">
        <v>33</v>
      </c>
      <c r="G5" s="10" t="s">
        <v>34</v>
      </c>
      <c r="H5" s="11" t="s">
        <v>34</v>
      </c>
      <c r="I5" s="12" t="s">
        <v>34</v>
      </c>
      <c r="J5" s="7"/>
      <c r="K5" s="112"/>
      <c r="L5" s="112"/>
      <c r="M5" s="112"/>
    </row>
    <row r="6" spans="1:16">
      <c r="A6" s="112"/>
      <c r="B6" s="7"/>
      <c r="C6" s="7"/>
      <c r="D6" s="7"/>
      <c r="E6" s="7"/>
      <c r="F6" s="7"/>
      <c r="G6" s="7"/>
      <c r="H6" s="7"/>
      <c r="I6" s="7"/>
      <c r="J6" s="7"/>
      <c r="K6" s="112"/>
      <c r="L6" s="112"/>
      <c r="M6" s="112"/>
    </row>
    <row r="7" spans="1:16">
      <c r="A7" s="112"/>
      <c r="C7" s="13" t="s">
        <v>13</v>
      </c>
      <c r="D7" s="14" t="s">
        <v>14</v>
      </c>
      <c r="E7" s="14" t="s">
        <v>15</v>
      </c>
      <c r="F7" s="14" t="s">
        <v>16</v>
      </c>
      <c r="G7" s="14" t="s">
        <v>17</v>
      </c>
      <c r="H7" s="14" t="s">
        <v>18</v>
      </c>
      <c r="I7" s="14" t="s">
        <v>19</v>
      </c>
      <c r="J7" s="14" t="s">
        <v>20</v>
      </c>
      <c r="K7" s="14" t="s">
        <v>21</v>
      </c>
      <c r="L7" s="14" t="s">
        <v>22</v>
      </c>
      <c r="M7" s="14" t="s">
        <v>23</v>
      </c>
    </row>
    <row r="8" spans="1:16">
      <c r="C8" s="15" t="s">
        <v>25</v>
      </c>
      <c r="D8" s="16" t="str">
        <f>$D$12&amp;" to "&amp;$D$24</f>
        <v>2 to 3</v>
      </c>
      <c r="E8" s="16" t="str">
        <f>$E$12&amp;" to "&amp;$E$24</f>
        <v>2 to 3</v>
      </c>
      <c r="F8" s="16" t="str">
        <f>$F$12&amp;" to "&amp;$F$24</f>
        <v>2 to 3</v>
      </c>
      <c r="G8" s="16" t="str">
        <f>$G$12&amp;" to "&amp;$G$24</f>
        <v>1 to 3</v>
      </c>
      <c r="H8" s="16" t="str">
        <f>$H$12&amp;" to "&amp;$H$24</f>
        <v>1 to 1</v>
      </c>
      <c r="I8" s="16" t="str">
        <f>$I$12&amp;" to "&amp;$I$24</f>
        <v>2 to 2</v>
      </c>
      <c r="J8" s="16" t="str">
        <f>$J$12&amp;" to "&amp;$J$24</f>
        <v>2 to 2</v>
      </c>
      <c r="K8" s="16" t="str">
        <f>$K$12&amp;" to "&amp;$K$24</f>
        <v>2 to 2</v>
      </c>
      <c r="L8" s="16" t="str">
        <f>$L$12&amp;" to "&amp;$L$24</f>
        <v>1 to 1</v>
      </c>
      <c r="M8" s="16" t="str">
        <f>$M$12&amp;" to "&amp;$M$24</f>
        <v>0 to 0</v>
      </c>
    </row>
    <row r="9" spans="1:16">
      <c r="B9" s="17"/>
      <c r="C9" s="18" t="s">
        <v>31</v>
      </c>
      <c r="D9" s="19">
        <v>20.848605577689241</v>
      </c>
      <c r="E9" s="19">
        <v>22.649402390438247</v>
      </c>
      <c r="F9" s="19">
        <v>20.707999999999998</v>
      </c>
      <c r="G9" s="19">
        <v>9.0039840637450208</v>
      </c>
      <c r="H9" s="19">
        <v>6.9800796812749004</v>
      </c>
      <c r="I9" s="19">
        <v>18.717131474103585</v>
      </c>
      <c r="J9" s="19">
        <v>16.693227091633467</v>
      </c>
      <c r="K9" s="19">
        <v>15.38</v>
      </c>
      <c r="L9" s="19">
        <v>5.4024390243902438</v>
      </c>
      <c r="M9" s="19">
        <v>0</v>
      </c>
      <c r="N9" s="20"/>
      <c r="O9" s="20"/>
      <c r="P9" s="20"/>
    </row>
    <row r="10" spans="1:16">
      <c r="B10" s="17"/>
      <c r="C10" s="18" t="s">
        <v>32</v>
      </c>
      <c r="D10" s="21">
        <v>37</v>
      </c>
      <c r="E10" s="21">
        <v>40</v>
      </c>
      <c r="F10" s="21">
        <v>35</v>
      </c>
      <c r="G10" s="21">
        <v>36</v>
      </c>
      <c r="H10" s="21">
        <v>14</v>
      </c>
      <c r="I10" s="21">
        <v>33</v>
      </c>
      <c r="J10" s="21">
        <v>34</v>
      </c>
      <c r="K10" s="21">
        <v>33</v>
      </c>
      <c r="L10" s="21">
        <v>14</v>
      </c>
      <c r="M10" s="21">
        <v>0</v>
      </c>
      <c r="N10" s="20"/>
      <c r="O10" s="20"/>
      <c r="P10" s="20"/>
    </row>
    <row r="11" spans="1:16" ht="14.4" thickBot="1">
      <c r="C11" s="15"/>
      <c r="D11" s="22"/>
      <c r="E11" s="16"/>
      <c r="F11" s="16"/>
      <c r="G11" s="16"/>
      <c r="H11" s="16"/>
      <c r="I11" s="16"/>
      <c r="J11" s="16"/>
      <c r="K11" s="16"/>
      <c r="L11" s="16"/>
      <c r="M11" s="16"/>
    </row>
    <row r="12" spans="1:16" ht="14.4" thickBot="1">
      <c r="A12" s="150" t="s">
        <v>3</v>
      </c>
      <c r="B12" s="151"/>
      <c r="C12" s="152" t="s">
        <v>4</v>
      </c>
      <c r="D12" s="24">
        <v>2</v>
      </c>
      <c r="E12" s="25">
        <v>2</v>
      </c>
      <c r="F12" s="25">
        <v>2</v>
      </c>
      <c r="G12" s="25">
        <v>1</v>
      </c>
      <c r="H12" s="25">
        <v>1</v>
      </c>
      <c r="I12" s="25">
        <v>2</v>
      </c>
      <c r="J12" s="25">
        <v>2</v>
      </c>
      <c r="K12" s="25">
        <v>2</v>
      </c>
      <c r="L12" s="25">
        <v>1</v>
      </c>
      <c r="M12" s="153">
        <v>0</v>
      </c>
    </row>
    <row r="13" spans="1:16">
      <c r="A13" s="154" t="s">
        <v>12</v>
      </c>
      <c r="B13" s="26"/>
      <c r="C13" s="27" t="s">
        <v>5</v>
      </c>
      <c r="D13" s="28">
        <f>D9/60</f>
        <v>0.347476759628154</v>
      </c>
      <c r="E13" s="29">
        <f t="shared" ref="E13:M13" si="0">E9/60</f>
        <v>0.37749003984063745</v>
      </c>
      <c r="F13" s="29">
        <f t="shared" si="0"/>
        <v>0.34513333333333329</v>
      </c>
      <c r="G13" s="29">
        <f t="shared" si="0"/>
        <v>0.150066401062417</v>
      </c>
      <c r="H13" s="29">
        <f t="shared" si="0"/>
        <v>0.11633466135458168</v>
      </c>
      <c r="I13" s="29">
        <f t="shared" si="0"/>
        <v>0.31195219123505974</v>
      </c>
      <c r="J13" s="29">
        <f t="shared" si="0"/>
        <v>0.27822045152722447</v>
      </c>
      <c r="K13" s="29">
        <f t="shared" si="0"/>
        <v>0.25633333333333336</v>
      </c>
      <c r="L13" s="29">
        <f t="shared" si="0"/>
        <v>9.0040650406504066E-2</v>
      </c>
      <c r="M13" s="155">
        <f t="shared" si="0"/>
        <v>0</v>
      </c>
    </row>
    <row r="14" spans="1:16">
      <c r="A14" s="156"/>
      <c r="B14" s="30"/>
      <c r="C14" s="31" t="s">
        <v>6</v>
      </c>
      <c r="D14" s="32">
        <v>0.45</v>
      </c>
      <c r="E14" s="32">
        <v>0.45</v>
      </c>
      <c r="F14" s="32">
        <v>0.45</v>
      </c>
      <c r="G14" s="32">
        <v>0.45</v>
      </c>
      <c r="H14" s="32">
        <v>0.45</v>
      </c>
      <c r="I14" s="32">
        <v>0.45</v>
      </c>
      <c r="J14" s="32">
        <v>0.45</v>
      </c>
      <c r="K14" s="32">
        <v>0.45</v>
      </c>
      <c r="L14" s="32">
        <v>0.45</v>
      </c>
      <c r="M14" s="195">
        <v>0.45</v>
      </c>
    </row>
    <row r="15" spans="1:16">
      <c r="A15" s="158" t="s">
        <v>27</v>
      </c>
      <c r="B15" s="26"/>
      <c r="C15" s="34" t="s">
        <v>26</v>
      </c>
      <c r="D15" s="35">
        <f>QueueInfinite(D13,D14,D12)</f>
        <v>0.13526385518786463</v>
      </c>
      <c r="E15" s="36">
        <f t="shared" ref="E15:M15" si="1">QueueInfinite(E13,E14,E12)</f>
        <v>0.17908197753319563</v>
      </c>
      <c r="F15" s="36">
        <f t="shared" si="1"/>
        <v>0.13223417459249409</v>
      </c>
      <c r="G15" s="36">
        <f t="shared" si="1"/>
        <v>0.16685118756355616</v>
      </c>
      <c r="H15" s="36">
        <f t="shared" si="1"/>
        <v>9.0135246741062242E-2</v>
      </c>
      <c r="I15" s="36">
        <f t="shared" si="1"/>
        <v>9.465716294872463E-2</v>
      </c>
      <c r="J15" s="36">
        <f t="shared" si="1"/>
        <v>6.5326839773029055E-2</v>
      </c>
      <c r="K15" s="36">
        <f t="shared" si="1"/>
        <v>5.0287341564071088E-2</v>
      </c>
      <c r="L15" s="36">
        <f t="shared" si="1"/>
        <v>5.0050828947965739E-2</v>
      </c>
      <c r="M15" s="159" t="e">
        <f t="shared" si="1"/>
        <v>#VALUE!</v>
      </c>
    </row>
    <row r="16" spans="1:16">
      <c r="A16" s="154"/>
      <c r="B16" s="26"/>
      <c r="C16" s="27" t="s">
        <v>7</v>
      </c>
      <c r="D16" s="37">
        <f>D15/D13</f>
        <v>0.38927453833923975</v>
      </c>
      <c r="E16" s="38">
        <f t="shared" ref="E16:L16" si="2">E15/E13</f>
        <v>0.47440186132804329</v>
      </c>
      <c r="F16" s="38">
        <f t="shared" si="2"/>
        <v>0.38313938939297115</v>
      </c>
      <c r="G16" s="38">
        <f t="shared" si="2"/>
        <v>1.111849064029715</v>
      </c>
      <c r="H16" s="38">
        <f t="shared" si="2"/>
        <v>0.77479270315091175</v>
      </c>
      <c r="I16" s="38">
        <f t="shared" si="2"/>
        <v>0.30343483908211855</v>
      </c>
      <c r="J16" s="38">
        <f t="shared" si="2"/>
        <v>0.23480243603384665</v>
      </c>
      <c r="K16" s="38">
        <f t="shared" si="2"/>
        <v>0.19617948594566093</v>
      </c>
      <c r="L16" s="38">
        <f t="shared" si="2"/>
        <v>0.55586925152142541</v>
      </c>
      <c r="M16" s="160">
        <f>IFERROR(M15/M13,0)</f>
        <v>0</v>
      </c>
    </row>
    <row r="17" spans="1:17" ht="14.4" thickBot="1">
      <c r="A17" s="161"/>
      <c r="B17" s="26"/>
      <c r="C17" s="39" t="s">
        <v>24</v>
      </c>
      <c r="D17" s="115" t="str">
        <f>TRUNC(D16)&amp;"min "&amp;ROUND((D16-TRUNC(D16))*60,0)&amp;"sec"</f>
        <v>0min 23sec</v>
      </c>
      <c r="E17" s="115" t="str">
        <f t="shared" ref="E17:M17" si="3">TRUNC(E16)&amp;"min "&amp;ROUND((E16-TRUNC(E16))*60,0)&amp;"sec"</f>
        <v>0min 28sec</v>
      </c>
      <c r="F17" s="115" t="str">
        <f t="shared" si="3"/>
        <v>0min 23sec</v>
      </c>
      <c r="G17" s="115" t="str">
        <f t="shared" si="3"/>
        <v>1min 7sec</v>
      </c>
      <c r="H17" s="115" t="str">
        <f t="shared" si="3"/>
        <v>0min 46sec</v>
      </c>
      <c r="I17" s="115" t="str">
        <f t="shared" si="3"/>
        <v>0min 18sec</v>
      </c>
      <c r="J17" s="115" t="str">
        <f t="shared" si="3"/>
        <v>0min 14sec</v>
      </c>
      <c r="K17" s="115" t="str">
        <f t="shared" si="3"/>
        <v>0min 12sec</v>
      </c>
      <c r="L17" s="115" t="str">
        <f t="shared" si="3"/>
        <v>0min 33sec</v>
      </c>
      <c r="M17" s="162" t="str">
        <f t="shared" si="3"/>
        <v>0min 0sec</v>
      </c>
      <c r="O17" s="40" t="s">
        <v>46</v>
      </c>
    </row>
    <row r="18" spans="1:17" ht="28.2" thickBot="1">
      <c r="A18" s="163" t="s">
        <v>29</v>
      </c>
      <c r="B18" s="41">
        <v>3</v>
      </c>
      <c r="C18" s="42" t="str">
        <f>A13&amp;" waiting in line"</f>
        <v>(minutes) waiting in line</v>
      </c>
      <c r="D18" s="43" t="str">
        <f>" = " &amp; ROUND((1-D19)/D19*D15*EXP((D13-D12*D14)*$B$18),4)*100 &amp; "%"</f>
        <v xml:space="preserve"> = 4.1%</v>
      </c>
      <c r="E18" s="44" t="str">
        <f t="shared" ref="E18:M18" si="4">" = " &amp; ROUND((1-E19)/E19*E15*EXP((E13-E12*E14)*$B$18),4)*100 &amp; "%"</f>
        <v xml:space="preserve"> = 5.17%</v>
      </c>
      <c r="F18" s="44" t="str">
        <f t="shared" si="4"/>
        <v xml:space="preserve"> = 4.02%</v>
      </c>
      <c r="G18" s="44" t="str">
        <f t="shared" si="4"/>
        <v xml:space="preserve"> = 13.56%</v>
      </c>
      <c r="H18" s="44" t="str">
        <f t="shared" si="4"/>
        <v xml:space="preserve"> = 9.5%</v>
      </c>
      <c r="I18" s="44" t="str">
        <f t="shared" si="4"/>
        <v xml:space="preserve"> = 3.06%</v>
      </c>
      <c r="J18" s="44" t="str">
        <f t="shared" si="4"/>
        <v xml:space="preserve"> = 2.26%</v>
      </c>
      <c r="K18" s="44" t="str">
        <f t="shared" si="4"/>
        <v xml:space="preserve"> = 1.83%</v>
      </c>
      <c r="L18" s="44" t="str">
        <f t="shared" si="4"/>
        <v xml:space="preserve"> = 6.8%</v>
      </c>
      <c r="M18" s="164" t="e">
        <f t="shared" si="4"/>
        <v>#DIV/0!</v>
      </c>
    </row>
    <row r="19" spans="1:17">
      <c r="A19" s="165" t="s">
        <v>28</v>
      </c>
      <c r="B19" s="26"/>
      <c r="C19" s="23" t="s">
        <v>0</v>
      </c>
      <c r="D19" s="45">
        <f>D13/(D12*D14)</f>
        <v>0.38608528847572665</v>
      </c>
      <c r="E19" s="45">
        <f t="shared" ref="E19:M19" si="5">E13/(E12*E14)</f>
        <v>0.41943337760070826</v>
      </c>
      <c r="F19" s="45">
        <f t="shared" si="5"/>
        <v>0.38348148148148142</v>
      </c>
      <c r="G19" s="45">
        <f t="shared" si="5"/>
        <v>0.33348089124981556</v>
      </c>
      <c r="H19" s="45">
        <f t="shared" si="5"/>
        <v>0.25852146967684814</v>
      </c>
      <c r="I19" s="45">
        <f t="shared" si="5"/>
        <v>0.34661354581673304</v>
      </c>
      <c r="J19" s="45">
        <f t="shared" si="5"/>
        <v>0.30913383503024938</v>
      </c>
      <c r="K19" s="45">
        <f t="shared" si="5"/>
        <v>0.28481481481481485</v>
      </c>
      <c r="L19" s="45">
        <f t="shared" si="5"/>
        <v>0.20009033423667569</v>
      </c>
      <c r="M19" s="196" t="e">
        <f t="shared" si="5"/>
        <v>#DIV/0!</v>
      </c>
      <c r="O19" s="47" t="s">
        <v>45</v>
      </c>
      <c r="P19" s="48"/>
      <c r="Q19" s="48"/>
    </row>
    <row r="20" spans="1:17">
      <c r="A20" s="154"/>
      <c r="B20" s="26"/>
      <c r="C20" s="27" t="s">
        <v>8</v>
      </c>
      <c r="D20" s="49">
        <f>D19*D12</f>
        <v>0.7721705769514533</v>
      </c>
      <c r="E20" s="50">
        <f t="shared" ref="E20:M20" si="6">E19*E12</f>
        <v>0.83886675520141651</v>
      </c>
      <c r="F20" s="50">
        <f t="shared" si="6"/>
        <v>0.76696296296296285</v>
      </c>
      <c r="G20" s="50">
        <f t="shared" si="6"/>
        <v>0.33348089124981556</v>
      </c>
      <c r="H20" s="50">
        <f t="shared" si="6"/>
        <v>0.25852146967684814</v>
      </c>
      <c r="I20" s="50">
        <f t="shared" si="6"/>
        <v>0.69322709163346607</v>
      </c>
      <c r="J20" s="50">
        <f t="shared" si="6"/>
        <v>0.61826767006049876</v>
      </c>
      <c r="K20" s="50">
        <f t="shared" si="6"/>
        <v>0.56962962962962971</v>
      </c>
      <c r="L20" s="50">
        <f t="shared" si="6"/>
        <v>0.20009033423667569</v>
      </c>
      <c r="M20" s="167" t="e">
        <f t="shared" si="6"/>
        <v>#DIV/0!</v>
      </c>
    </row>
    <row r="21" spans="1:17">
      <c r="A21" s="154"/>
      <c r="B21" s="26"/>
      <c r="C21" s="27" t="s">
        <v>9</v>
      </c>
      <c r="D21" s="49">
        <f>(D12*D19)+D15</f>
        <v>0.90743443213931796</v>
      </c>
      <c r="E21" s="50">
        <f t="shared" ref="E21:M21" si="7">(E12*E19)+E15</f>
        <v>1.0179487327346122</v>
      </c>
      <c r="F21" s="50">
        <f t="shared" si="7"/>
        <v>0.89919713755545694</v>
      </c>
      <c r="G21" s="50">
        <f t="shared" si="7"/>
        <v>0.50033207881337172</v>
      </c>
      <c r="H21" s="50">
        <f t="shared" si="7"/>
        <v>0.34865671641791041</v>
      </c>
      <c r="I21" s="50">
        <f t="shared" si="7"/>
        <v>0.78788425458219069</v>
      </c>
      <c r="J21" s="50">
        <f t="shared" si="7"/>
        <v>0.68359450983352787</v>
      </c>
      <c r="K21" s="50">
        <f t="shared" si="7"/>
        <v>0.61991697119370082</v>
      </c>
      <c r="L21" s="50">
        <f t="shared" si="7"/>
        <v>0.25014116318464141</v>
      </c>
      <c r="M21" s="167" t="e">
        <f t="shared" si="7"/>
        <v>#DIV/0!</v>
      </c>
      <c r="P21" s="51"/>
    </row>
    <row r="22" spans="1:17" hidden="1">
      <c r="A22" s="154" t="s">
        <v>12</v>
      </c>
      <c r="B22" s="26"/>
      <c r="C22" s="34" t="s">
        <v>10</v>
      </c>
      <c r="D22" s="146">
        <f>D21/D13</f>
        <v>2.6114967605614621</v>
      </c>
      <c r="E22" s="147">
        <f t="shared" ref="E22:M22" si="8">E21/E13</f>
        <v>2.6966240835502653</v>
      </c>
      <c r="F22" s="147">
        <f t="shared" si="8"/>
        <v>2.6053616116151934</v>
      </c>
      <c r="G22" s="147">
        <f t="shared" si="8"/>
        <v>3.334071286251937</v>
      </c>
      <c r="H22" s="147">
        <f t="shared" si="8"/>
        <v>2.9970149253731337</v>
      </c>
      <c r="I22" s="147">
        <f t="shared" si="8"/>
        <v>2.5256570613043405</v>
      </c>
      <c r="J22" s="147">
        <f t="shared" si="8"/>
        <v>2.4570246582560689</v>
      </c>
      <c r="K22" s="147">
        <f t="shared" si="8"/>
        <v>2.4184017081678832</v>
      </c>
      <c r="L22" s="147">
        <f t="shared" si="8"/>
        <v>2.7780914737436473</v>
      </c>
      <c r="M22" s="168" t="e">
        <f t="shared" si="8"/>
        <v>#DIV/0!</v>
      </c>
    </row>
    <row r="23" spans="1:17">
      <c r="A23" s="154"/>
      <c r="B23" s="26"/>
      <c r="C23" s="39" t="s">
        <v>49</v>
      </c>
      <c r="D23" s="115" t="str">
        <f>TRUNC(D22)&amp;"min "&amp;ROUND((D22-TRUNC(D22))*60,0)&amp;"sec"</f>
        <v>2min 37sec</v>
      </c>
      <c r="E23" s="115" t="str">
        <f t="shared" ref="E23:M23" si="9">TRUNC(E22)&amp;"min "&amp;ROUND((E22-TRUNC(E22))*60,0)&amp;"sec"</f>
        <v>2min 42sec</v>
      </c>
      <c r="F23" s="115" t="str">
        <f t="shared" si="9"/>
        <v>2min 36sec</v>
      </c>
      <c r="G23" s="115" t="str">
        <f t="shared" si="9"/>
        <v>3min 20sec</v>
      </c>
      <c r="H23" s="115" t="str">
        <f t="shared" si="9"/>
        <v>2min 60sec</v>
      </c>
      <c r="I23" s="115" t="str">
        <f t="shared" si="9"/>
        <v>2min 32sec</v>
      </c>
      <c r="J23" s="115" t="str">
        <f t="shared" si="9"/>
        <v>2min 27sec</v>
      </c>
      <c r="K23" s="115" t="str">
        <f t="shared" si="9"/>
        <v>2min 25sec</v>
      </c>
      <c r="L23" s="115" t="str">
        <f t="shared" si="9"/>
        <v>2min 47sec</v>
      </c>
      <c r="M23" s="162" t="e">
        <f t="shared" si="9"/>
        <v>#DIV/0!</v>
      </c>
    </row>
    <row r="24" spans="1:17" ht="14.4" thickBot="1">
      <c r="A24" s="171" t="s">
        <v>11</v>
      </c>
      <c r="B24" s="54"/>
      <c r="C24" s="55" t="s">
        <v>4</v>
      </c>
      <c r="D24" s="56">
        <v>3</v>
      </c>
      <c r="E24" s="57">
        <v>3</v>
      </c>
      <c r="F24" s="57">
        <v>3</v>
      </c>
      <c r="G24" s="57">
        <v>3</v>
      </c>
      <c r="H24" s="57">
        <v>1</v>
      </c>
      <c r="I24" s="57">
        <v>2</v>
      </c>
      <c r="J24" s="57">
        <v>2</v>
      </c>
      <c r="K24" s="57">
        <v>2</v>
      </c>
      <c r="L24" s="57">
        <v>1</v>
      </c>
      <c r="M24" s="172">
        <v>0</v>
      </c>
    </row>
    <row r="25" spans="1:17">
      <c r="A25" s="173" t="s">
        <v>12</v>
      </c>
      <c r="B25" s="54"/>
      <c r="C25" s="58" t="s">
        <v>5</v>
      </c>
      <c r="D25" s="59">
        <f>D10/60</f>
        <v>0.6166666666666667</v>
      </c>
      <c r="E25" s="60">
        <f t="shared" ref="E25:M25" si="10">E10/60</f>
        <v>0.66666666666666663</v>
      </c>
      <c r="F25" s="60">
        <f t="shared" si="10"/>
        <v>0.58333333333333337</v>
      </c>
      <c r="G25" s="60">
        <f t="shared" si="10"/>
        <v>0.6</v>
      </c>
      <c r="H25" s="60">
        <f t="shared" si="10"/>
        <v>0.23333333333333334</v>
      </c>
      <c r="I25" s="60">
        <f t="shared" si="10"/>
        <v>0.55000000000000004</v>
      </c>
      <c r="J25" s="60">
        <f t="shared" si="10"/>
        <v>0.56666666666666665</v>
      </c>
      <c r="K25" s="60">
        <f t="shared" si="10"/>
        <v>0.55000000000000004</v>
      </c>
      <c r="L25" s="60">
        <f t="shared" si="10"/>
        <v>0.23333333333333334</v>
      </c>
      <c r="M25" s="174">
        <f t="shared" si="10"/>
        <v>0</v>
      </c>
    </row>
    <row r="26" spans="1:17">
      <c r="A26" s="175"/>
      <c r="B26" s="61"/>
      <c r="C26" s="62" t="s">
        <v>6</v>
      </c>
      <c r="D26" s="63">
        <v>0.56302448915104286</v>
      </c>
      <c r="E26" s="64">
        <v>0.56302448915104286</v>
      </c>
      <c r="F26" s="64">
        <v>0.56302448915104286</v>
      </c>
      <c r="G26" s="64">
        <v>0.56302448915104286</v>
      </c>
      <c r="H26" s="64">
        <v>0.56302448915104286</v>
      </c>
      <c r="I26" s="64">
        <v>0.56302448915104286</v>
      </c>
      <c r="J26" s="64">
        <v>0.56302448915104286</v>
      </c>
      <c r="K26" s="64">
        <v>0.56302448915104286</v>
      </c>
      <c r="L26" s="64">
        <v>0.56302448915104286</v>
      </c>
      <c r="M26" s="176">
        <v>0.56302448915104286</v>
      </c>
    </row>
    <row r="27" spans="1:17">
      <c r="A27" s="177" t="s">
        <v>27</v>
      </c>
      <c r="B27" s="54"/>
      <c r="C27" s="66" t="s">
        <v>26</v>
      </c>
      <c r="D27" s="67">
        <f>QueueInfinite(D25,D26,D24)</f>
        <v>6.5241604870048694E-2</v>
      </c>
      <c r="E27" s="68">
        <f t="shared" ref="E27:M27" si="11">QueueInfinite(E25,E26,E24)</f>
        <v>8.9180297173802089E-2</v>
      </c>
      <c r="F27" s="68">
        <f t="shared" si="11"/>
        <v>5.2303094081668625E-2</v>
      </c>
      <c r="G27" s="68">
        <f t="shared" si="11"/>
        <v>5.849570000502579E-2</v>
      </c>
      <c r="H27" s="68">
        <f t="shared" si="11"/>
        <v>0.29330467704967111</v>
      </c>
      <c r="I27" s="68">
        <f t="shared" si="11"/>
        <v>0.30606570345067569</v>
      </c>
      <c r="J27" s="68">
        <f t="shared" si="11"/>
        <v>0.34132097476246759</v>
      </c>
      <c r="K27" s="68">
        <f t="shared" si="11"/>
        <v>0.30606570345067569</v>
      </c>
      <c r="L27" s="68">
        <f t="shared" si="11"/>
        <v>0.29330467704967111</v>
      </c>
      <c r="M27" s="178" t="e">
        <f t="shared" si="11"/>
        <v>#VALUE!</v>
      </c>
    </row>
    <row r="28" spans="1:17">
      <c r="A28" s="173"/>
      <c r="B28" s="54"/>
      <c r="C28" s="58" t="s">
        <v>7</v>
      </c>
      <c r="D28" s="113">
        <f>D27/D25</f>
        <v>0.10579719708656544</v>
      </c>
      <c r="E28" s="113">
        <f t="shared" ref="E28:L28" si="12">E27/E25</f>
        <v>0.13377044576070315</v>
      </c>
      <c r="F28" s="113">
        <f t="shared" si="12"/>
        <v>8.9662446997146206E-2</v>
      </c>
      <c r="G28" s="113">
        <f t="shared" si="12"/>
        <v>9.7492833341709648E-2</v>
      </c>
      <c r="H28" s="113">
        <f t="shared" si="12"/>
        <v>1.2570200444985904</v>
      </c>
      <c r="I28" s="113">
        <f t="shared" si="12"/>
        <v>0.55648309718304667</v>
      </c>
      <c r="J28" s="113">
        <f t="shared" si="12"/>
        <v>0.60233113193376631</v>
      </c>
      <c r="K28" s="113">
        <f t="shared" si="12"/>
        <v>0.55648309718304667</v>
      </c>
      <c r="L28" s="113">
        <f t="shared" si="12"/>
        <v>1.2570200444985904</v>
      </c>
      <c r="M28" s="197">
        <f>IFERROR(M27/M25,0)</f>
        <v>0</v>
      </c>
      <c r="O28" s="71"/>
    </row>
    <row r="29" spans="1:17" ht="14.4" thickBot="1">
      <c r="A29" s="173"/>
      <c r="B29" s="54"/>
      <c r="C29" s="72" t="s">
        <v>24</v>
      </c>
      <c r="D29" s="117" t="str">
        <f>TRUNC(D28)&amp;"min "&amp;ROUND((D28-TRUNC(D28))*60,0)&amp;"sec"</f>
        <v>0min 6sec</v>
      </c>
      <c r="E29" s="117" t="str">
        <f t="shared" ref="E29:M29" si="13">TRUNC(E28)&amp;"min "&amp;ROUND((E28-TRUNC(E28))*60,0)&amp;"sec"</f>
        <v>0min 8sec</v>
      </c>
      <c r="F29" s="117" t="str">
        <f t="shared" si="13"/>
        <v>0min 5sec</v>
      </c>
      <c r="G29" s="117" t="str">
        <f t="shared" si="13"/>
        <v>0min 6sec</v>
      </c>
      <c r="H29" s="117" t="str">
        <f t="shared" si="13"/>
        <v>1min 15sec</v>
      </c>
      <c r="I29" s="117" t="str">
        <f t="shared" si="13"/>
        <v>0min 33sec</v>
      </c>
      <c r="J29" s="117" t="str">
        <f t="shared" si="13"/>
        <v>0min 36sec</v>
      </c>
      <c r="K29" s="117" t="str">
        <f t="shared" si="13"/>
        <v>0min 33sec</v>
      </c>
      <c r="L29" s="117" t="str">
        <f t="shared" si="13"/>
        <v>1min 15sec</v>
      </c>
      <c r="M29" s="198" t="str">
        <f t="shared" si="13"/>
        <v>0min 0sec</v>
      </c>
      <c r="O29" s="71"/>
    </row>
    <row r="30" spans="1:17" ht="28.2" thickBot="1">
      <c r="A30" s="181" t="s">
        <v>29</v>
      </c>
      <c r="B30" s="41">
        <v>3</v>
      </c>
      <c r="C30" s="73" t="str">
        <f>A25&amp;" waiting in line"</f>
        <v>(minutes) waiting in line</v>
      </c>
      <c r="D30" s="74" t="str">
        <f>" = " &amp; ROUND((1-D31)/D31*D27*EXP((D25-D24*D26)*$B$30),4)*100 &amp; "%"</f>
        <v xml:space="preserve"> = 0.45%</v>
      </c>
      <c r="E30" s="74" t="str">
        <f t="shared" ref="E30:M30" si="14">" = " &amp; ROUND((1-E31)/E31*E27*EXP((E25-E24*E26)*$B$30),4)*100 &amp; "%"</f>
        <v xml:space="preserve"> = 0.64%</v>
      </c>
      <c r="F30" s="74" t="str">
        <f t="shared" si="14"/>
        <v xml:space="preserve"> = 0.36%</v>
      </c>
      <c r="G30" s="74" t="str">
        <f t="shared" si="14"/>
        <v xml:space="preserve"> = 0.4%</v>
      </c>
      <c r="H30" s="74" t="str">
        <f t="shared" si="14"/>
        <v xml:space="preserve"> = 15.41%</v>
      </c>
      <c r="I30" s="74" t="str">
        <f t="shared" si="14"/>
        <v xml:space="preserve"> = 5.69%</v>
      </c>
      <c r="J30" s="74" t="str">
        <f t="shared" si="14"/>
        <v xml:space="preserve"> = 6.29%</v>
      </c>
      <c r="K30" s="74" t="str">
        <f t="shared" si="14"/>
        <v xml:space="preserve"> = 5.69%</v>
      </c>
      <c r="L30" s="74" t="str">
        <f t="shared" si="14"/>
        <v xml:space="preserve"> = 15.41%</v>
      </c>
      <c r="M30" s="182" t="e">
        <f t="shared" si="14"/>
        <v>#DIV/0!</v>
      </c>
      <c r="O30" s="71"/>
    </row>
    <row r="31" spans="1:17">
      <c r="A31" s="183" t="s">
        <v>28</v>
      </c>
      <c r="B31" s="54"/>
      <c r="C31" s="75" t="s">
        <v>0</v>
      </c>
      <c r="D31" s="76">
        <f>D25/(D24*D26)</f>
        <v>0.36509167810001075</v>
      </c>
      <c r="E31" s="76">
        <f t="shared" ref="E31:M31" si="15">E25/(E24*E26)</f>
        <v>0.39469370605406567</v>
      </c>
      <c r="F31" s="76">
        <f t="shared" si="15"/>
        <v>0.34535699279730753</v>
      </c>
      <c r="G31" s="76">
        <f t="shared" si="15"/>
        <v>0.35522433544865911</v>
      </c>
      <c r="H31" s="76">
        <f t="shared" si="15"/>
        <v>0.41442839135676901</v>
      </c>
      <c r="I31" s="76">
        <f t="shared" si="15"/>
        <v>0.48843346124190634</v>
      </c>
      <c r="J31" s="76">
        <f t="shared" si="15"/>
        <v>0.50323447521893372</v>
      </c>
      <c r="K31" s="76">
        <f t="shared" si="15"/>
        <v>0.48843346124190634</v>
      </c>
      <c r="L31" s="76">
        <f t="shared" si="15"/>
        <v>0.41442839135676901</v>
      </c>
      <c r="M31" s="199" t="e">
        <f t="shared" si="15"/>
        <v>#DIV/0!</v>
      </c>
    </row>
    <row r="32" spans="1:17">
      <c r="A32" s="173"/>
      <c r="B32" s="54"/>
      <c r="C32" s="58" t="s">
        <v>8</v>
      </c>
      <c r="D32" s="69">
        <f>D31*D24</f>
        <v>1.0952750343000321</v>
      </c>
      <c r="E32" s="70">
        <f t="shared" ref="E32:M32" si="16">E31*E24</f>
        <v>1.1840811181621971</v>
      </c>
      <c r="F32" s="70">
        <f t="shared" si="16"/>
        <v>1.0360709783919226</v>
      </c>
      <c r="G32" s="70">
        <f t="shared" si="16"/>
        <v>1.0656730063459774</v>
      </c>
      <c r="H32" s="70">
        <f t="shared" si="16"/>
        <v>0.41442839135676901</v>
      </c>
      <c r="I32" s="70">
        <f t="shared" si="16"/>
        <v>0.97686692248381268</v>
      </c>
      <c r="J32" s="70">
        <f t="shared" si="16"/>
        <v>1.0064689504378674</v>
      </c>
      <c r="K32" s="70">
        <f t="shared" si="16"/>
        <v>0.97686692248381268</v>
      </c>
      <c r="L32" s="70">
        <f t="shared" si="16"/>
        <v>0.41442839135676901</v>
      </c>
      <c r="M32" s="179" t="e">
        <f t="shared" si="16"/>
        <v>#DIV/0!</v>
      </c>
    </row>
    <row r="33" spans="1:19">
      <c r="A33" s="173"/>
      <c r="B33" s="54"/>
      <c r="C33" s="58" t="s">
        <v>9</v>
      </c>
      <c r="D33" s="69">
        <f>(D24*D31)+D27</f>
        <v>1.1605166391700807</v>
      </c>
      <c r="E33" s="70">
        <f t="shared" ref="E33:M33" si="17">(E24*E31)+E27</f>
        <v>1.2732614153359991</v>
      </c>
      <c r="F33" s="70">
        <f t="shared" si="17"/>
        <v>1.0883740724735913</v>
      </c>
      <c r="G33" s="70">
        <f t="shared" si="17"/>
        <v>1.1241687063510031</v>
      </c>
      <c r="H33" s="70">
        <f t="shared" si="17"/>
        <v>0.70773306840644012</v>
      </c>
      <c r="I33" s="70">
        <f t="shared" si="17"/>
        <v>1.2829326259344884</v>
      </c>
      <c r="J33" s="70">
        <f t="shared" si="17"/>
        <v>1.3477899252003351</v>
      </c>
      <c r="K33" s="70">
        <f t="shared" si="17"/>
        <v>1.2829326259344884</v>
      </c>
      <c r="L33" s="70">
        <f t="shared" si="17"/>
        <v>0.70773306840644012</v>
      </c>
      <c r="M33" s="179" t="e">
        <f t="shared" si="17"/>
        <v>#DIV/0!</v>
      </c>
    </row>
    <row r="34" spans="1:19" hidden="1">
      <c r="A34" s="173" t="s">
        <v>12</v>
      </c>
      <c r="B34" s="54"/>
      <c r="C34" s="55" t="s">
        <v>10</v>
      </c>
      <c r="D34" s="148">
        <f>D33/D25</f>
        <v>1.8819188743298605</v>
      </c>
      <c r="E34" s="149">
        <f t="shared" ref="E34:M34" si="18">E33/E25</f>
        <v>1.9098921230039987</v>
      </c>
      <c r="F34" s="149">
        <f t="shared" si="18"/>
        <v>1.865784124240442</v>
      </c>
      <c r="G34" s="149">
        <f t="shared" si="18"/>
        <v>1.8736145105850053</v>
      </c>
      <c r="H34" s="149">
        <f t="shared" si="18"/>
        <v>3.0331417217418863</v>
      </c>
      <c r="I34" s="149">
        <f t="shared" si="18"/>
        <v>2.3326047744263425</v>
      </c>
      <c r="J34" s="149">
        <f t="shared" si="18"/>
        <v>2.378452809177062</v>
      </c>
      <c r="K34" s="149">
        <f t="shared" si="18"/>
        <v>2.3326047744263425</v>
      </c>
      <c r="L34" s="149">
        <f t="shared" si="18"/>
        <v>3.0331417217418863</v>
      </c>
      <c r="M34" s="185" t="e">
        <f t="shared" si="18"/>
        <v>#DIV/0!</v>
      </c>
    </row>
    <row r="35" spans="1:19" ht="14.4" thickBot="1">
      <c r="A35" s="186"/>
      <c r="B35" s="187"/>
      <c r="C35" s="188"/>
      <c r="D35" s="192" t="str">
        <f>TRUNC(D34)&amp;"min "&amp;ROUND((D34-TRUNC(D34))*60,0)&amp;"sec"</f>
        <v>1min 53sec</v>
      </c>
      <c r="E35" s="192" t="str">
        <f t="shared" ref="E35:M35" si="19">TRUNC(E34)&amp;"min "&amp;ROUND((E34-TRUNC(E34))*60,0)&amp;"sec"</f>
        <v>1min 55sec</v>
      </c>
      <c r="F35" s="192" t="str">
        <f t="shared" si="19"/>
        <v>1min 52sec</v>
      </c>
      <c r="G35" s="192" t="str">
        <f t="shared" si="19"/>
        <v>1min 52sec</v>
      </c>
      <c r="H35" s="192" t="str">
        <f t="shared" si="19"/>
        <v>3min 2sec</v>
      </c>
      <c r="I35" s="192" t="str">
        <f t="shared" si="19"/>
        <v>2min 20sec</v>
      </c>
      <c r="J35" s="192" t="str">
        <f t="shared" si="19"/>
        <v>2min 23sec</v>
      </c>
      <c r="K35" s="192" t="str">
        <f t="shared" si="19"/>
        <v>2min 20sec</v>
      </c>
      <c r="L35" s="192" t="str">
        <f t="shared" si="19"/>
        <v>3min 2sec</v>
      </c>
      <c r="M35" s="200" t="e">
        <f t="shared" si="19"/>
        <v>#DIV/0!</v>
      </c>
    </row>
    <row r="36" spans="1:19">
      <c r="A36" s="78"/>
      <c r="B36" s="78"/>
      <c r="C36" s="79"/>
      <c r="D36" s="80"/>
      <c r="E36" s="80"/>
      <c r="F36" s="80"/>
      <c r="G36" s="80"/>
      <c r="H36" s="80"/>
      <c r="I36" s="80"/>
      <c r="J36" s="80"/>
      <c r="K36" s="80"/>
      <c r="L36" s="80"/>
      <c r="M36" s="80"/>
    </row>
    <row r="37" spans="1:19">
      <c r="A37" s="78"/>
      <c r="B37" s="78"/>
      <c r="C37" s="79"/>
      <c r="D37" s="80"/>
      <c r="E37" s="80"/>
      <c r="F37" s="80"/>
      <c r="G37" s="80"/>
      <c r="H37" s="80"/>
      <c r="I37" s="80"/>
      <c r="J37" s="80"/>
      <c r="K37" s="80"/>
      <c r="L37" s="80"/>
      <c r="M37" s="80"/>
    </row>
    <row r="38" spans="1:19">
      <c r="A38" s="78"/>
      <c r="B38" s="78"/>
      <c r="C38" s="81" t="s">
        <v>41</v>
      </c>
      <c r="D38" s="80"/>
      <c r="E38" s="80"/>
      <c r="F38" s="80"/>
      <c r="G38" s="80"/>
      <c r="H38" s="80"/>
      <c r="I38" s="80"/>
      <c r="J38" s="80"/>
      <c r="K38" s="80"/>
      <c r="L38" s="80"/>
      <c r="M38" s="80"/>
    </row>
    <row r="39" spans="1:19">
      <c r="A39" s="78"/>
      <c r="B39" s="78"/>
      <c r="C39" s="34" t="s">
        <v>3</v>
      </c>
      <c r="D39" s="122" t="str">
        <f>IF(AND(D45&lt;1,E45&lt;1,F45&lt;1,G45&lt;1,H45&lt;1,I45&lt;1,J45&lt;1,K45&lt;1,L45&lt;1,M45&lt;1),"Status is OK! Number of people in line is unchanged","Attention! Changes result in the number of people in line to increase")</f>
        <v>Status is OK! Number of people in line is unchanged</v>
      </c>
      <c r="F39" s="80"/>
      <c r="G39" s="80"/>
      <c r="H39" s="80"/>
      <c r="I39" s="122" t="str">
        <f>IF(OR((D$51-D$16)&gt;1,(E$51-E$16)&gt;1,(F$51-F$16)&gt;1,(G$51-G$16)&gt;1,(H$51-H$16)&gt;1,(I$51-I$16)&gt;1,(J$51-J$16)&gt;1,(K$51-K$16)&gt;1,(L$51-L$16)&gt;1,(M$51-M$16)&gt;1),"Attention! The line's waiting time increased","")</f>
        <v/>
      </c>
      <c r="J39" s="80"/>
      <c r="K39" s="80"/>
      <c r="L39" s="80"/>
      <c r="M39" s="80"/>
    </row>
    <row r="40" spans="1:19">
      <c r="A40" s="15" t="s">
        <v>1</v>
      </c>
      <c r="B40" s="6" t="s">
        <v>38</v>
      </c>
      <c r="C40" s="82" t="s">
        <v>39</v>
      </c>
      <c r="D40" s="83" t="s">
        <v>36</v>
      </c>
      <c r="E40" s="83" t="s">
        <v>36</v>
      </c>
      <c r="F40" s="83" t="s">
        <v>36</v>
      </c>
      <c r="G40" s="83" t="s">
        <v>36</v>
      </c>
      <c r="H40" s="83" t="s">
        <v>36</v>
      </c>
      <c r="I40" s="83" t="s">
        <v>36</v>
      </c>
      <c r="J40" s="83" t="s">
        <v>36</v>
      </c>
      <c r="K40" s="83" t="s">
        <v>36</v>
      </c>
      <c r="L40" s="83" t="s">
        <v>36</v>
      </c>
      <c r="M40" s="83" t="s">
        <v>36</v>
      </c>
      <c r="N40" s="78"/>
      <c r="O40" s="79"/>
      <c r="P40" s="84"/>
      <c r="Q40" s="78"/>
      <c r="R40" s="85"/>
      <c r="S40" s="85"/>
    </row>
    <row r="41" spans="1:19" ht="14.4" thickBot="1">
      <c r="A41" s="13" t="s">
        <v>2</v>
      </c>
      <c r="B41" s="86">
        <f>1-SUM(B42:B44)</f>
        <v>0.19999999999999996</v>
      </c>
      <c r="C41" s="87">
        <f>1-$B$41*$D$19</f>
        <v>0.92278294230485469</v>
      </c>
      <c r="D41" s="88">
        <f>D$15*$B$41*(1-D$19)/($C$41)</f>
        <v>1.7997833906618826E-2</v>
      </c>
      <c r="E41" s="88">
        <f t="shared" ref="E41:L41" si="20">E$15*$B$41*(1-E$19)/($C$41)</f>
        <v>2.2533797291342986E-2</v>
      </c>
      <c r="F41" s="88">
        <f t="shared" si="20"/>
        <v>1.7669337756429978E-2</v>
      </c>
      <c r="G41" s="88">
        <f t="shared" si="20"/>
        <v>2.4103069038315977E-2</v>
      </c>
      <c r="H41" s="88">
        <f t="shared" si="20"/>
        <v>1.4485172453870116E-2</v>
      </c>
      <c r="I41" s="88">
        <f t="shared" si="20"/>
        <v>1.3404605834528443E-2</v>
      </c>
      <c r="J41" s="88">
        <f t="shared" si="20"/>
        <v>9.7817376534634522E-3</v>
      </c>
      <c r="K41" s="88">
        <f t="shared" si="20"/>
        <v>7.7948475291796963E-3</v>
      </c>
      <c r="L41" s="88">
        <f t="shared" si="20"/>
        <v>8.6772609287608746E-3</v>
      </c>
      <c r="M41" s="88">
        <f>IFERROR(M$15*$B$41*(1-M$19)/($C$41),0)</f>
        <v>0</v>
      </c>
      <c r="N41" s="78"/>
      <c r="O41" s="89"/>
      <c r="P41" s="90"/>
      <c r="Q41" s="91"/>
      <c r="R41" s="78"/>
      <c r="S41" s="78"/>
    </row>
    <row r="42" spans="1:19" ht="14.4" thickBot="1">
      <c r="A42" s="1">
        <v>2</v>
      </c>
      <c r="B42" s="92">
        <v>0.8</v>
      </c>
      <c r="C42" s="87">
        <f>$C$41-$B$42*$D$19</f>
        <v>0.61391471152427335</v>
      </c>
      <c r="D42" s="88">
        <f>D$15*$B$42*(1-D$19)/($C$42*$C$41)</f>
        <v>0.1172660212812458</v>
      </c>
      <c r="E42" s="88">
        <f t="shared" ref="E42:L42" si="21">E$15*$B$42*(1-E$19)/($C$42*$C$41)</f>
        <v>0.14682037663110822</v>
      </c>
      <c r="F42" s="88">
        <f t="shared" si="21"/>
        <v>0.11512568390849751</v>
      </c>
      <c r="G42" s="88">
        <f t="shared" si="21"/>
        <v>0.15704506561487069</v>
      </c>
      <c r="H42" s="88">
        <f t="shared" si="21"/>
        <v>9.4379054171256138E-2</v>
      </c>
      <c r="I42" s="88">
        <f t="shared" si="21"/>
        <v>8.7338554251267173E-2</v>
      </c>
      <c r="J42" s="88">
        <f t="shared" si="21"/>
        <v>6.3733528256240193E-2</v>
      </c>
      <c r="K42" s="88">
        <f t="shared" si="21"/>
        <v>5.0787820411249428E-2</v>
      </c>
      <c r="L42" s="88">
        <f t="shared" si="21"/>
        <v>5.6537240537639678E-2</v>
      </c>
      <c r="M42" s="88">
        <f>IFERROR(M$15*$B$42*(1-M$19)/($C$42*$C$41),0)</f>
        <v>0</v>
      </c>
      <c r="N42" s="78"/>
      <c r="O42" s="78"/>
      <c r="P42" s="93"/>
      <c r="Q42" s="91"/>
      <c r="R42" s="78"/>
      <c r="S42" s="78"/>
    </row>
    <row r="43" spans="1:19" ht="14.4" thickBot="1">
      <c r="A43" s="1">
        <v>3</v>
      </c>
      <c r="B43" s="92">
        <v>0</v>
      </c>
      <c r="C43" s="87">
        <f>$C$42-$B$43*$D$19</f>
        <v>0.61391471152427335</v>
      </c>
      <c r="D43" s="88">
        <f>D$15*$B43*(1-D$19)/($C$43*$C$42)</f>
        <v>0</v>
      </c>
      <c r="E43" s="88">
        <f t="shared" ref="E43:L44" si="22">E$15*$B43*(1-E$19)/($C43*$C42)</f>
        <v>0</v>
      </c>
      <c r="F43" s="88">
        <f t="shared" si="22"/>
        <v>0</v>
      </c>
      <c r="G43" s="88">
        <f t="shared" si="22"/>
        <v>0</v>
      </c>
      <c r="H43" s="88">
        <f t="shared" si="22"/>
        <v>0</v>
      </c>
      <c r="I43" s="88">
        <f t="shared" si="22"/>
        <v>0</v>
      </c>
      <c r="J43" s="88">
        <f t="shared" si="22"/>
        <v>0</v>
      </c>
      <c r="K43" s="88">
        <f t="shared" si="22"/>
        <v>0</v>
      </c>
      <c r="L43" s="88">
        <f t="shared" si="22"/>
        <v>0</v>
      </c>
      <c r="M43" s="88">
        <f>IFERROR(M$15*$B43*(1-M$19)/($C43*$C42),0)</f>
        <v>0</v>
      </c>
      <c r="N43" s="78"/>
      <c r="O43" s="78"/>
      <c r="P43" s="93"/>
      <c r="Q43" s="91"/>
      <c r="R43" s="78"/>
      <c r="S43" s="78"/>
    </row>
    <row r="44" spans="1:19" ht="14.4" thickBot="1">
      <c r="A44" s="1">
        <v>4</v>
      </c>
      <c r="B44" s="92">
        <v>0</v>
      </c>
      <c r="C44" s="87">
        <f>$C$43-$B$44*$D$19</f>
        <v>0.61391471152427335</v>
      </c>
      <c r="D44" s="94">
        <f>D$15*$B44*(1-D$19)/($C$44*$C$43)</f>
        <v>0</v>
      </c>
      <c r="E44" s="94">
        <f t="shared" si="22"/>
        <v>0</v>
      </c>
      <c r="F44" s="94">
        <f t="shared" si="22"/>
        <v>0</v>
      </c>
      <c r="G44" s="94">
        <f t="shared" si="22"/>
        <v>0</v>
      </c>
      <c r="H44" s="94">
        <f t="shared" si="22"/>
        <v>0</v>
      </c>
      <c r="I44" s="94">
        <f t="shared" si="22"/>
        <v>0</v>
      </c>
      <c r="J44" s="94">
        <f t="shared" si="22"/>
        <v>0</v>
      </c>
      <c r="K44" s="94">
        <f t="shared" si="22"/>
        <v>0</v>
      </c>
      <c r="L44" s="94">
        <f t="shared" si="22"/>
        <v>0</v>
      </c>
      <c r="M44" s="94">
        <f>IFERROR(M$15*$B44*(1-M$19)/($C44*$C43),0)</f>
        <v>0</v>
      </c>
      <c r="N44" s="78"/>
      <c r="O44" s="78"/>
      <c r="P44" s="93"/>
      <c r="Q44" s="91"/>
      <c r="R44" s="78"/>
      <c r="S44" s="78"/>
    </row>
    <row r="45" spans="1:19">
      <c r="B45" s="95"/>
      <c r="C45" s="96" t="s">
        <v>42</v>
      </c>
      <c r="D45" s="88">
        <f>SUM(D41:D44)</f>
        <v>0.13526385518786463</v>
      </c>
      <c r="E45" s="88">
        <f t="shared" ref="E45:M45" si="23">SUM(E41:E44)</f>
        <v>0.16935417392245122</v>
      </c>
      <c r="F45" s="88">
        <f t="shared" si="23"/>
        <v>0.13279502166492749</v>
      </c>
      <c r="G45" s="88">
        <f t="shared" si="23"/>
        <v>0.18114813465318666</v>
      </c>
      <c r="H45" s="88">
        <f t="shared" si="23"/>
        <v>0.10886422662512625</v>
      </c>
      <c r="I45" s="88">
        <f t="shared" si="23"/>
        <v>0.10074316008579562</v>
      </c>
      <c r="J45" s="88">
        <f t="shared" si="23"/>
        <v>7.3515265909703642E-2</v>
      </c>
      <c r="K45" s="88">
        <f t="shared" si="23"/>
        <v>5.8582667940429121E-2</v>
      </c>
      <c r="L45" s="88">
        <f t="shared" si="23"/>
        <v>6.5214501466400551E-2</v>
      </c>
      <c r="M45" s="88">
        <f t="shared" si="23"/>
        <v>0</v>
      </c>
      <c r="N45" s="78"/>
      <c r="O45" s="78"/>
      <c r="P45" s="93"/>
      <c r="Q45" s="91"/>
      <c r="R45" s="78"/>
      <c r="S45" s="78"/>
    </row>
    <row r="46" spans="1:19">
      <c r="C46" s="126" t="s">
        <v>40</v>
      </c>
      <c r="D46" s="127" t="s">
        <v>37</v>
      </c>
      <c r="E46" s="127" t="s">
        <v>37</v>
      </c>
      <c r="F46" s="127" t="s">
        <v>37</v>
      </c>
      <c r="G46" s="127" t="s">
        <v>37</v>
      </c>
      <c r="H46" s="127" t="s">
        <v>37</v>
      </c>
      <c r="I46" s="127" t="s">
        <v>37</v>
      </c>
      <c r="J46" s="127" t="s">
        <v>37</v>
      </c>
      <c r="K46" s="127" t="s">
        <v>37</v>
      </c>
      <c r="L46" s="127" t="s">
        <v>37</v>
      </c>
      <c r="M46" s="127" t="s">
        <v>37</v>
      </c>
      <c r="N46" s="78"/>
      <c r="O46" s="78"/>
      <c r="P46" s="78"/>
      <c r="Q46" s="78"/>
      <c r="R46" s="78"/>
      <c r="S46" s="78"/>
    </row>
    <row r="47" spans="1:19" ht="14.4" thickBot="1">
      <c r="A47" s="13" t="s">
        <v>2</v>
      </c>
      <c r="B47" s="97">
        <f>1-SUM(B48:B50)</f>
        <v>0.19999999999999996</v>
      </c>
      <c r="C47" s="98"/>
      <c r="D47" s="88">
        <f>D$41/(IF($B$41&gt;0,$B$41,1)*D$13)</f>
        <v>0.25897895913785557</v>
      </c>
      <c r="E47" s="88">
        <f t="shared" ref="E47:L47" si="24">E$41/(IF($B$41&gt;0,$B$41,1)*E$13)</f>
        <v>0.29846876623361956</v>
      </c>
      <c r="F47" s="88">
        <f t="shared" si="24"/>
        <v>0.25597842992703279</v>
      </c>
      <c r="G47" s="88">
        <f t="shared" si="24"/>
        <v>0.80308013211734219</v>
      </c>
      <c r="H47" s="88">
        <f t="shared" si="24"/>
        <v>0.62256477498654106</v>
      </c>
      <c r="I47" s="88">
        <f t="shared" si="24"/>
        <v>0.21485032340144575</v>
      </c>
      <c r="J47" s="88">
        <f t="shared" si="24"/>
        <v>0.17579113253121673</v>
      </c>
      <c r="K47" s="88">
        <f t="shared" si="24"/>
        <v>0.15204514036111241</v>
      </c>
      <c r="L47" s="88">
        <f t="shared" si="24"/>
        <v>0.48185241274834661</v>
      </c>
      <c r="M47" s="88">
        <f>IFERROR(M$41/(IF($B$41&gt;0,$B$41,1)*M$13),0)</f>
        <v>0</v>
      </c>
    </row>
    <row r="48" spans="1:19" ht="14.4" thickBot="1">
      <c r="A48" s="1">
        <v>2</v>
      </c>
      <c r="B48" s="99">
        <f>$B$42</f>
        <v>0.8</v>
      </c>
      <c r="C48" s="98"/>
      <c r="D48" s="88">
        <f>D$42/(IF($B$42&gt;0,$B$42,1)*D$13)</f>
        <v>0.42184843313958575</v>
      </c>
      <c r="E48" s="88">
        <f t="shared" ref="E48:L48" si="25">E$42/(IF($B$42&gt;0,$B$42,1)*E$13)</f>
        <v>0.48617301496580684</v>
      </c>
      <c r="F48" s="88">
        <f t="shared" si="25"/>
        <v>0.41696089883800042</v>
      </c>
      <c r="G48" s="88">
        <f t="shared" si="25"/>
        <v>1.3081298053982038</v>
      </c>
      <c r="H48" s="88">
        <f t="shared" si="25"/>
        <v>1.0140900084325895</v>
      </c>
      <c r="I48" s="88">
        <f t="shared" si="25"/>
        <v>0.34996770621117596</v>
      </c>
      <c r="J48" s="88">
        <f t="shared" si="25"/>
        <v>0.28634455117511248</v>
      </c>
      <c r="K48" s="88">
        <f t="shared" si="25"/>
        <v>0.24766492398203552</v>
      </c>
      <c r="L48" s="88">
        <f t="shared" si="25"/>
        <v>0.7848849420010926</v>
      </c>
      <c r="M48" s="88">
        <f>IFERROR(M$42/(IF($B$42&gt;0,$B$42,1)*M$13),0)</f>
        <v>0</v>
      </c>
    </row>
    <row r="49" spans="1:13" ht="14.4" thickBot="1">
      <c r="A49" s="1">
        <v>3</v>
      </c>
      <c r="B49" s="99">
        <f>$B$43</f>
        <v>0</v>
      </c>
      <c r="C49" s="98"/>
      <c r="D49" s="88">
        <f>D$43/(IF($B$43&gt;0,$B$43,1)*D$13)</f>
        <v>0</v>
      </c>
      <c r="E49" s="88">
        <f t="shared" ref="E49:L49" si="26">E$43/(IF($B$43&gt;0,$B$43,1)*E$13)</f>
        <v>0</v>
      </c>
      <c r="F49" s="88">
        <f t="shared" si="26"/>
        <v>0</v>
      </c>
      <c r="G49" s="88">
        <f t="shared" si="26"/>
        <v>0</v>
      </c>
      <c r="H49" s="88">
        <f t="shared" si="26"/>
        <v>0</v>
      </c>
      <c r="I49" s="88">
        <f t="shared" si="26"/>
        <v>0</v>
      </c>
      <c r="J49" s="88">
        <f t="shared" si="26"/>
        <v>0</v>
      </c>
      <c r="K49" s="88">
        <f t="shared" si="26"/>
        <v>0</v>
      </c>
      <c r="L49" s="88">
        <f t="shared" si="26"/>
        <v>0</v>
      </c>
      <c r="M49" s="88">
        <f>IFERROR(M$43/(IF($B$43&gt;0,$B$43,1)*M$13),0)</f>
        <v>0</v>
      </c>
    </row>
    <row r="50" spans="1:13" ht="14.4" thickBot="1">
      <c r="A50" s="1">
        <v>4</v>
      </c>
      <c r="B50" s="99">
        <f>$B$44</f>
        <v>0</v>
      </c>
      <c r="C50" s="98"/>
      <c r="D50" s="94">
        <f>D$44/(IF($B$44&gt;0,$B$44,1)*D$13)</f>
        <v>0</v>
      </c>
      <c r="E50" s="94">
        <f t="shared" ref="E50:L50" si="27">E$44/(IF($B$44&gt;0,$B$44,1)*E$13)</f>
        <v>0</v>
      </c>
      <c r="F50" s="94">
        <f t="shared" si="27"/>
        <v>0</v>
      </c>
      <c r="G50" s="94">
        <f t="shared" si="27"/>
        <v>0</v>
      </c>
      <c r="H50" s="94">
        <f t="shared" si="27"/>
        <v>0</v>
      </c>
      <c r="I50" s="94">
        <f t="shared" si="27"/>
        <v>0</v>
      </c>
      <c r="J50" s="94">
        <f t="shared" si="27"/>
        <v>0</v>
      </c>
      <c r="K50" s="94">
        <f t="shared" si="27"/>
        <v>0</v>
      </c>
      <c r="L50" s="94">
        <f t="shared" si="27"/>
        <v>0</v>
      </c>
      <c r="M50" s="94">
        <f>IFERROR(M$44/(IF($B$44&gt;0,$B$44,1)*M$13),0)</f>
        <v>0</v>
      </c>
    </row>
    <row r="51" spans="1:13" hidden="1">
      <c r="B51" s="100"/>
      <c r="C51" s="96" t="s">
        <v>42</v>
      </c>
      <c r="D51" s="88">
        <f>SUM(D47:D50)</f>
        <v>0.68082739227744127</v>
      </c>
      <c r="E51" s="88">
        <f t="shared" ref="E51:L51" si="28">SUM(E47:E50)</f>
        <v>0.7846417811994264</v>
      </c>
      <c r="F51" s="88">
        <f t="shared" si="28"/>
        <v>0.67293932876503315</v>
      </c>
      <c r="G51" s="88">
        <f t="shared" si="28"/>
        <v>2.1112099375155458</v>
      </c>
      <c r="H51" s="88">
        <f t="shared" si="28"/>
        <v>1.6366547834191305</v>
      </c>
      <c r="I51" s="88">
        <f t="shared" si="28"/>
        <v>0.56481802961262173</v>
      </c>
      <c r="J51" s="88">
        <f t="shared" si="28"/>
        <v>0.46213568370632918</v>
      </c>
      <c r="K51" s="88">
        <f t="shared" si="28"/>
        <v>0.39971006434314793</v>
      </c>
      <c r="L51" s="88">
        <f t="shared" si="28"/>
        <v>1.2667373547494392</v>
      </c>
      <c r="M51" s="88">
        <f>SUM(M47:M50)</f>
        <v>0</v>
      </c>
    </row>
    <row r="52" spans="1:13">
      <c r="B52" s="100"/>
      <c r="C52" s="101" t="s">
        <v>24</v>
      </c>
      <c r="D52" s="119" t="str">
        <f>TRUNC(D51)&amp;"min "&amp;ROUND((D51-TRUNC(D51))*60,0)&amp;"sec"</f>
        <v>0min 41sec</v>
      </c>
      <c r="E52" s="119" t="str">
        <f t="shared" ref="E52:M52" si="29">TRUNC(E51)&amp;"min "&amp;ROUND((E51-TRUNC(E51))*60,0)&amp;"sec"</f>
        <v>0min 47sec</v>
      </c>
      <c r="F52" s="119" t="str">
        <f t="shared" si="29"/>
        <v>0min 40sec</v>
      </c>
      <c r="G52" s="119" t="str">
        <f t="shared" si="29"/>
        <v>2min 7sec</v>
      </c>
      <c r="H52" s="119" t="str">
        <f t="shared" si="29"/>
        <v>1min 38sec</v>
      </c>
      <c r="I52" s="119" t="str">
        <f t="shared" si="29"/>
        <v>0min 34sec</v>
      </c>
      <c r="J52" s="119" t="str">
        <f t="shared" si="29"/>
        <v>0min 28sec</v>
      </c>
      <c r="K52" s="119" t="str">
        <f t="shared" si="29"/>
        <v>0min 24sec</v>
      </c>
      <c r="L52" s="119" t="str">
        <f t="shared" si="29"/>
        <v>1min 16sec</v>
      </c>
      <c r="M52" s="119" t="str">
        <f t="shared" si="29"/>
        <v>0min 0sec</v>
      </c>
    </row>
    <row r="53" spans="1:13" ht="27.6">
      <c r="B53" s="100"/>
      <c r="C53" s="102" t="s">
        <v>44</v>
      </c>
      <c r="D53" s="116" t="str">
        <f>TRUNC(D51-D16)&amp;"min "&amp;ROUND(((D51-D16)-TRUNC(D51-D16))*60,0)&amp;"sec"</f>
        <v>0min 17sec</v>
      </c>
      <c r="E53" s="116" t="str">
        <f t="shared" ref="E53:L53" si="30">TRUNC(E51-E16)&amp;"min "&amp;ROUND(((E51-E16)-TRUNC(E51-E16))*60,0)&amp;"sec"</f>
        <v>0min 19sec</v>
      </c>
      <c r="F53" s="116" t="str">
        <f t="shared" si="30"/>
        <v>0min 17sec</v>
      </c>
      <c r="G53" s="116" t="str">
        <f t="shared" si="30"/>
        <v>0min 60sec</v>
      </c>
      <c r="H53" s="116" t="str">
        <f t="shared" si="30"/>
        <v>0min 52sec</v>
      </c>
      <c r="I53" s="116" t="str">
        <f t="shared" si="30"/>
        <v>0min 16sec</v>
      </c>
      <c r="J53" s="116" t="str">
        <f t="shared" si="30"/>
        <v>0min 14sec</v>
      </c>
      <c r="K53" s="116" t="str">
        <f t="shared" si="30"/>
        <v>0min 12sec</v>
      </c>
      <c r="L53" s="116" t="str">
        <f t="shared" si="30"/>
        <v>0min 43sec</v>
      </c>
      <c r="M53" s="116" t="str">
        <f>IFERROR(TRUNC(M51-M16)&amp;"min "&amp;ROUND(((M51-M16)-TRUNC(M51-M16))*60,0)&amp;"sec",0)</f>
        <v>0min 0sec</v>
      </c>
    </row>
    <row r="54" spans="1:13">
      <c r="B54" s="103"/>
      <c r="C54" s="104" t="s">
        <v>11</v>
      </c>
      <c r="D54" s="122" t="str">
        <f>IF(AND(D60&lt;1,E60&lt;1,F60&lt;1,G60&lt;1,H60&lt;1,I60&lt;1,J60&lt;1,K60&lt;1,L60&lt;1,M60&lt;1),"Status is OK! Number of people in line is unchanged","Attention! Changes result in the number of people in line to increase")</f>
        <v>Status is OK! Number of people in line is unchanged</v>
      </c>
      <c r="F54" s="80"/>
      <c r="G54" s="80"/>
      <c r="H54" s="80"/>
      <c r="I54" s="122" t="str">
        <f>IF(OR((D$66-D$28)&gt;1,(E$66-E$28)&gt;1,(F$66-F$28)&gt;1,(G$66-G$28)&gt;1,(H$66-H$28)&gt;1,(I$66-I$28)&gt;1,(J$66-J$28)&gt;1,(K$66-K$28)&gt;1,(L$66-L$28)&gt;1,(M$66-M$28)&gt;1),"Attention! The line's waiting time increased","")</f>
        <v/>
      </c>
    </row>
    <row r="55" spans="1:13">
      <c r="B55" s="103"/>
      <c r="C55" s="105" t="s">
        <v>39</v>
      </c>
      <c r="D55" s="65" t="s">
        <v>36</v>
      </c>
      <c r="E55" s="65" t="s">
        <v>36</v>
      </c>
      <c r="F55" s="65" t="s">
        <v>36</v>
      </c>
      <c r="G55" s="65" t="s">
        <v>36</v>
      </c>
      <c r="H55" s="65" t="s">
        <v>36</v>
      </c>
      <c r="I55" s="65" t="s">
        <v>36</v>
      </c>
      <c r="J55" s="65" t="s">
        <v>36</v>
      </c>
      <c r="K55" s="65" t="s">
        <v>36</v>
      </c>
      <c r="L55" s="65" t="s">
        <v>36</v>
      </c>
      <c r="M55" s="65" t="s">
        <v>36</v>
      </c>
    </row>
    <row r="56" spans="1:13" ht="14.4" thickBot="1">
      <c r="A56" s="13" t="s">
        <v>2</v>
      </c>
      <c r="B56" s="97">
        <f>1-SUM(B57:B59)</f>
        <v>0.19999999999999996</v>
      </c>
      <c r="C56" s="106">
        <f>1-$B$41*$D$31</f>
        <v>0.92698166437999785</v>
      </c>
      <c r="D56" s="107">
        <f>D$27*$B$41*(1-D$31)/($C$56)</f>
        <v>8.9370565692493496E-3</v>
      </c>
      <c r="E56" s="107">
        <f t="shared" ref="E56:L56" si="31">E$27*$B$41*(1-E$31)/($C$56)</f>
        <v>1.1646701817209322E-2</v>
      </c>
      <c r="F56" s="107">
        <f t="shared" si="31"/>
        <v>7.3873855570875538E-3</v>
      </c>
      <c r="G56" s="107">
        <f t="shared" si="31"/>
        <v>8.1375080637355948E-3</v>
      </c>
      <c r="H56" s="107">
        <f t="shared" si="31"/>
        <v>3.7055941484545551E-2</v>
      </c>
      <c r="I56" s="107">
        <f t="shared" si="31"/>
        <v>3.3781244778243909E-2</v>
      </c>
      <c r="J56" s="107">
        <f t="shared" si="31"/>
        <v>3.6582491253496011E-2</v>
      </c>
      <c r="K56" s="107">
        <f t="shared" si="31"/>
        <v>3.3781244778243909E-2</v>
      </c>
      <c r="L56" s="107">
        <f t="shared" si="31"/>
        <v>3.7055941484545551E-2</v>
      </c>
      <c r="M56" s="107">
        <f>IFERROR(M$27*$B$41*(1-M$31)/($C$56),0)</f>
        <v>0</v>
      </c>
    </row>
    <row r="57" spans="1:13" ht="14.4" thickBot="1">
      <c r="A57" s="1">
        <v>2</v>
      </c>
      <c r="B57" s="99">
        <f>$B$42</f>
        <v>0.8</v>
      </c>
      <c r="C57" s="106">
        <f>$C$56-$B$42*$D$31</f>
        <v>0.63490832189998925</v>
      </c>
      <c r="D57" s="107">
        <f>D$27*$B$42*(1-D$31)/($C$57*$C$56)</f>
        <v>5.6304548300799347E-2</v>
      </c>
      <c r="E57" s="107">
        <f t="shared" ref="E57:L57" si="32">E$27*$B$42*(1-E$31)/($C$57*$C$56)</f>
        <v>7.3375644422842612E-2</v>
      </c>
      <c r="F57" s="107">
        <f t="shared" si="32"/>
        <v>4.6541431587984246E-2</v>
      </c>
      <c r="G57" s="107">
        <f t="shared" si="32"/>
        <v>5.1267295028572121E-2</v>
      </c>
      <c r="H57" s="107">
        <f t="shared" si="32"/>
        <v>0.23345695878519365</v>
      </c>
      <c r="I57" s="107">
        <f t="shared" si="32"/>
        <v>0.21282596943856186</v>
      </c>
      <c r="J57" s="107">
        <f t="shared" si="32"/>
        <v>0.23047416448422925</v>
      </c>
      <c r="K57" s="107">
        <f t="shared" si="32"/>
        <v>0.21282596943856186</v>
      </c>
      <c r="L57" s="107">
        <f t="shared" si="32"/>
        <v>0.23345695878519365</v>
      </c>
      <c r="M57" s="107">
        <f>IFERROR(M$27*$B$42*(1-M$31)/($C$57*$C$56),0)</f>
        <v>0</v>
      </c>
    </row>
    <row r="58" spans="1:13" ht="14.4" thickBot="1">
      <c r="A58" s="1">
        <v>3</v>
      </c>
      <c r="B58" s="99">
        <f>$B$43</f>
        <v>0</v>
      </c>
      <c r="C58" s="106">
        <f>$C$57-$B$43*$D$31</f>
        <v>0.63490832189998925</v>
      </c>
      <c r="D58" s="107">
        <f>D$27*$B$43*(1-D$31)/($C$58*$C$57)</f>
        <v>0</v>
      </c>
      <c r="E58" s="107">
        <f t="shared" ref="E58:L58" si="33">E$27*$B$43*(1-E$31)/($C$58*$C$57)</f>
        <v>0</v>
      </c>
      <c r="F58" s="107">
        <f t="shared" si="33"/>
        <v>0</v>
      </c>
      <c r="G58" s="107">
        <f t="shared" si="33"/>
        <v>0</v>
      </c>
      <c r="H58" s="107">
        <f t="shared" si="33"/>
        <v>0</v>
      </c>
      <c r="I58" s="107">
        <f t="shared" si="33"/>
        <v>0</v>
      </c>
      <c r="J58" s="107">
        <f t="shared" si="33"/>
        <v>0</v>
      </c>
      <c r="K58" s="107">
        <f t="shared" si="33"/>
        <v>0</v>
      </c>
      <c r="L58" s="107">
        <f t="shared" si="33"/>
        <v>0</v>
      </c>
      <c r="M58" s="107">
        <f>IFERROR(M$27*$B$43*(1-M$31)/($C$58*$C$57),0)</f>
        <v>0</v>
      </c>
    </row>
    <row r="59" spans="1:13" ht="14.4" thickBot="1">
      <c r="A59" s="1">
        <v>4</v>
      </c>
      <c r="B59" s="99">
        <f>$B$44</f>
        <v>0</v>
      </c>
      <c r="C59" s="106">
        <f>$C$58-$B$44*$D$31</f>
        <v>0.63490832189998925</v>
      </c>
      <c r="D59" s="108">
        <f>D$27*$B$44*(1-D$31)/($C$59*$C$58)</f>
        <v>0</v>
      </c>
      <c r="E59" s="108">
        <f t="shared" ref="E59:L59" si="34">E$27*$B$44*(1-E$31)/($C$59*$C$58)</f>
        <v>0</v>
      </c>
      <c r="F59" s="108">
        <f t="shared" si="34"/>
        <v>0</v>
      </c>
      <c r="G59" s="108">
        <f t="shared" si="34"/>
        <v>0</v>
      </c>
      <c r="H59" s="108">
        <f t="shared" si="34"/>
        <v>0</v>
      </c>
      <c r="I59" s="108">
        <f t="shared" si="34"/>
        <v>0</v>
      </c>
      <c r="J59" s="108">
        <f t="shared" si="34"/>
        <v>0</v>
      </c>
      <c r="K59" s="108">
        <f t="shared" si="34"/>
        <v>0</v>
      </c>
      <c r="L59" s="108">
        <f t="shared" si="34"/>
        <v>0</v>
      </c>
      <c r="M59" s="108">
        <f>IFERROR(M$27*$B$44*(1-M$31)/($C$59*$C$58),0)</f>
        <v>0</v>
      </c>
    </row>
    <row r="60" spans="1:13">
      <c r="B60" s="100"/>
      <c r="C60" s="55" t="s">
        <v>42</v>
      </c>
      <c r="D60" s="107">
        <f>SUM(D56:D59)</f>
        <v>6.5241604870048694E-2</v>
      </c>
      <c r="E60" s="107">
        <f t="shared" ref="E60:M60" si="35">SUM(E56:E59)</f>
        <v>8.5022346240051935E-2</v>
      </c>
      <c r="F60" s="107">
        <f t="shared" si="35"/>
        <v>5.3928817145071799E-2</v>
      </c>
      <c r="G60" s="107">
        <f t="shared" si="35"/>
        <v>5.9404803092307716E-2</v>
      </c>
      <c r="H60" s="107">
        <f t="shared" si="35"/>
        <v>0.27051290026973918</v>
      </c>
      <c r="I60" s="107">
        <f t="shared" si="35"/>
        <v>0.24660721421680576</v>
      </c>
      <c r="J60" s="107">
        <f t="shared" si="35"/>
        <v>0.26705665573772525</v>
      </c>
      <c r="K60" s="107">
        <f t="shared" si="35"/>
        <v>0.24660721421680576</v>
      </c>
      <c r="L60" s="107">
        <f t="shared" si="35"/>
        <v>0.27051290026973918</v>
      </c>
      <c r="M60" s="107">
        <f t="shared" si="35"/>
        <v>0</v>
      </c>
    </row>
    <row r="61" spans="1:13">
      <c r="B61" s="103"/>
      <c r="C61" s="124" t="s">
        <v>40</v>
      </c>
      <c r="D61" s="125" t="s">
        <v>37</v>
      </c>
      <c r="E61" s="125" t="s">
        <v>37</v>
      </c>
      <c r="F61" s="125" t="s">
        <v>37</v>
      </c>
      <c r="G61" s="125" t="s">
        <v>37</v>
      </c>
      <c r="H61" s="125" t="s">
        <v>37</v>
      </c>
      <c r="I61" s="125" t="s">
        <v>37</v>
      </c>
      <c r="J61" s="125" t="s">
        <v>37</v>
      </c>
      <c r="K61" s="125" t="s">
        <v>37</v>
      </c>
      <c r="L61" s="125" t="s">
        <v>37</v>
      </c>
      <c r="M61" s="125" t="s">
        <v>37</v>
      </c>
    </row>
    <row r="62" spans="1:13" ht="14.4" thickBot="1">
      <c r="A62" s="13" t="s">
        <v>2</v>
      </c>
      <c r="B62" s="97">
        <f>1-SUM(B63:B65)</f>
        <v>0.19999999999999996</v>
      </c>
      <c r="C62" s="109"/>
      <c r="D62" s="107">
        <f>D$56/(IF($B$41&gt;0,$B$41,1)*D$25)</f>
        <v>7.2462620831751492E-2</v>
      </c>
      <c r="E62" s="107">
        <f t="shared" ref="E62:L62" si="36">E$56/(IF($B$41&gt;0,$B$41,1)*E$25)</f>
        <v>8.7350263629069932E-2</v>
      </c>
      <c r="F62" s="107">
        <f t="shared" si="36"/>
        <v>6.3320447632179033E-2</v>
      </c>
      <c r="G62" s="107">
        <f t="shared" si="36"/>
        <v>6.7812567197796644E-2</v>
      </c>
      <c r="H62" s="107">
        <f t="shared" si="36"/>
        <v>0.79405588895454771</v>
      </c>
      <c r="I62" s="107">
        <f t="shared" si="36"/>
        <v>0.30710222525676284</v>
      </c>
      <c r="J62" s="107">
        <f t="shared" si="36"/>
        <v>0.32278668753084727</v>
      </c>
      <c r="K62" s="107">
        <f t="shared" si="36"/>
        <v>0.30710222525676284</v>
      </c>
      <c r="L62" s="107">
        <f t="shared" si="36"/>
        <v>0.79405588895454771</v>
      </c>
      <c r="M62" s="107">
        <f>IFERROR(M$56/(IF($B$41&gt;0,$B$41,1)*M$25),0)</f>
        <v>0</v>
      </c>
    </row>
    <row r="63" spans="1:13" ht="14.4" thickBot="1">
      <c r="A63" s="1">
        <v>2</v>
      </c>
      <c r="B63" s="99">
        <f>$B$42</f>
        <v>0.8</v>
      </c>
      <c r="C63" s="109"/>
      <c r="D63" s="107">
        <f>D$57/(IF($B$42&gt;0,$B$42,1)*D$25)</f>
        <v>0.11413084115026893</v>
      </c>
      <c r="E63" s="107">
        <f t="shared" ref="E63:L63" si="37">E$57/(IF($B$42&gt;0,$B$42,1)*E$25)</f>
        <v>0.1375793332928299</v>
      </c>
      <c r="F63" s="107">
        <f t="shared" si="37"/>
        <v>9.9731639117109083E-2</v>
      </c>
      <c r="G63" s="107">
        <f t="shared" si="37"/>
        <v>0.10680686464285859</v>
      </c>
      <c r="H63" s="107">
        <f t="shared" si="37"/>
        <v>1.2506622792063946</v>
      </c>
      <c r="I63" s="107">
        <f t="shared" si="37"/>
        <v>0.48369538508764054</v>
      </c>
      <c r="J63" s="107">
        <f t="shared" si="37"/>
        <v>0.50839889224462331</v>
      </c>
      <c r="K63" s="107">
        <f t="shared" si="37"/>
        <v>0.48369538508764054</v>
      </c>
      <c r="L63" s="107">
        <f t="shared" si="37"/>
        <v>1.2506622792063946</v>
      </c>
      <c r="M63" s="107">
        <f>IFERROR(M$57/(IF($B$42&gt;0,$B$42,1)*M$25),0)</f>
        <v>0</v>
      </c>
    </row>
    <row r="64" spans="1:13" ht="14.4" thickBot="1">
      <c r="A64" s="1">
        <v>3</v>
      </c>
      <c r="B64" s="99">
        <f>$B$43</f>
        <v>0</v>
      </c>
      <c r="C64" s="109"/>
      <c r="D64" s="107">
        <f>D$58/(IF($B$43&gt;0,$B$43,1)*D$25)</f>
        <v>0</v>
      </c>
      <c r="E64" s="107">
        <f t="shared" ref="E64:L64" si="38">E$58/(IF($B$43&gt;0,$B$43,1)*E$25)</f>
        <v>0</v>
      </c>
      <c r="F64" s="107">
        <f t="shared" si="38"/>
        <v>0</v>
      </c>
      <c r="G64" s="107">
        <f t="shared" si="38"/>
        <v>0</v>
      </c>
      <c r="H64" s="107">
        <f t="shared" si="38"/>
        <v>0</v>
      </c>
      <c r="I64" s="107">
        <f t="shared" si="38"/>
        <v>0</v>
      </c>
      <c r="J64" s="107">
        <f t="shared" si="38"/>
        <v>0</v>
      </c>
      <c r="K64" s="107">
        <f t="shared" si="38"/>
        <v>0</v>
      </c>
      <c r="L64" s="107">
        <f t="shared" si="38"/>
        <v>0</v>
      </c>
      <c r="M64" s="107">
        <f>IFERROR(M$58/(IF($B$43&gt;0,$B$43,1)*M$25),0)</f>
        <v>0</v>
      </c>
    </row>
    <row r="65" spans="1:13" ht="14.4" thickBot="1">
      <c r="A65" s="1">
        <v>4</v>
      </c>
      <c r="B65" s="99">
        <f>$B$44</f>
        <v>0</v>
      </c>
      <c r="C65" s="54"/>
      <c r="D65" s="108">
        <f>D$59/(IF($B$44&gt;0,$B$44,1)*D$25)</f>
        <v>0</v>
      </c>
      <c r="E65" s="108">
        <f t="shared" ref="E65:L65" si="39">E$59/(IF($B$44&gt;0,$B$44,1)*E$25)</f>
        <v>0</v>
      </c>
      <c r="F65" s="108">
        <f t="shared" si="39"/>
        <v>0</v>
      </c>
      <c r="G65" s="108">
        <f t="shared" si="39"/>
        <v>0</v>
      </c>
      <c r="H65" s="108">
        <f t="shared" si="39"/>
        <v>0</v>
      </c>
      <c r="I65" s="108">
        <f t="shared" si="39"/>
        <v>0</v>
      </c>
      <c r="J65" s="108">
        <f t="shared" si="39"/>
        <v>0</v>
      </c>
      <c r="K65" s="108">
        <f t="shared" si="39"/>
        <v>0</v>
      </c>
      <c r="L65" s="108">
        <f t="shared" si="39"/>
        <v>0</v>
      </c>
      <c r="M65" s="108">
        <f>IFERROR(M$59/(IF($B$44&gt;0,$B$44,1)*M$25),0)</f>
        <v>0</v>
      </c>
    </row>
    <row r="66" spans="1:13" hidden="1">
      <c r="B66" s="100"/>
      <c r="C66" s="55" t="s">
        <v>42</v>
      </c>
      <c r="D66" s="107">
        <f>SUM(D62:D65)</f>
        <v>0.18659346198202043</v>
      </c>
      <c r="E66" s="107">
        <f t="shared" ref="E66:M66" si="40">SUM(E62:E65)</f>
        <v>0.22492959692189984</v>
      </c>
      <c r="F66" s="107">
        <f t="shared" si="40"/>
        <v>0.16305208674928812</v>
      </c>
      <c r="G66" s="107">
        <f t="shared" si="40"/>
        <v>0.17461943184065523</v>
      </c>
      <c r="H66" s="107">
        <f t="shared" si="40"/>
        <v>2.0447181681609425</v>
      </c>
      <c r="I66" s="107">
        <f t="shared" si="40"/>
        <v>0.79079761034440343</v>
      </c>
      <c r="J66" s="107">
        <f t="shared" si="40"/>
        <v>0.83118557977547058</v>
      </c>
      <c r="K66" s="107">
        <f t="shared" si="40"/>
        <v>0.79079761034440343</v>
      </c>
      <c r="L66" s="107">
        <f t="shared" si="40"/>
        <v>2.0447181681609425</v>
      </c>
      <c r="M66" s="107">
        <f t="shared" si="40"/>
        <v>0</v>
      </c>
    </row>
    <row r="67" spans="1:13">
      <c r="B67" s="100"/>
      <c r="C67" s="110" t="s">
        <v>24</v>
      </c>
      <c r="D67" s="120" t="str">
        <f>TRUNC(D66)&amp;"min "&amp;ROUND((D66-TRUNC(D66))*60,0)&amp;"sec"</f>
        <v>0min 11sec</v>
      </c>
      <c r="E67" s="120" t="str">
        <f t="shared" ref="E67:M67" si="41">TRUNC(E66)&amp;"min "&amp;ROUND((E66-TRUNC(E66))*60,0)&amp;"sec"</f>
        <v>0min 13sec</v>
      </c>
      <c r="F67" s="120" t="str">
        <f t="shared" si="41"/>
        <v>0min 10sec</v>
      </c>
      <c r="G67" s="120" t="str">
        <f t="shared" si="41"/>
        <v>0min 10sec</v>
      </c>
      <c r="H67" s="120" t="str">
        <f t="shared" si="41"/>
        <v>2min 3sec</v>
      </c>
      <c r="I67" s="120" t="str">
        <f t="shared" si="41"/>
        <v>0min 47sec</v>
      </c>
      <c r="J67" s="120" t="str">
        <f t="shared" si="41"/>
        <v>0min 50sec</v>
      </c>
      <c r="K67" s="120" t="str">
        <f t="shared" si="41"/>
        <v>0min 47sec</v>
      </c>
      <c r="L67" s="120" t="str">
        <f t="shared" si="41"/>
        <v>2min 3sec</v>
      </c>
      <c r="M67" s="120" t="str">
        <f t="shared" si="41"/>
        <v>0min 0sec</v>
      </c>
    </row>
    <row r="68" spans="1:13" ht="27.6">
      <c r="B68" s="100"/>
      <c r="C68" s="111" t="s">
        <v>43</v>
      </c>
      <c r="D68" s="123" t="str">
        <f>TRUNC(D66-D28)&amp;"min "&amp;ROUND(((D66-D28)-TRUNC(D66-D28))*60,0)&amp;"sec"</f>
        <v>0min 5sec</v>
      </c>
      <c r="E68" s="123" t="str">
        <f t="shared" ref="E68:L68" si="42">TRUNC(E66-E28)&amp;"min "&amp;ROUND(((E66-E28)-TRUNC(E66-E28))*60,0)&amp;"sec"</f>
        <v>0min 5sec</v>
      </c>
      <c r="F68" s="123" t="str">
        <f t="shared" si="42"/>
        <v>0min 4sec</v>
      </c>
      <c r="G68" s="123" t="str">
        <f t="shared" si="42"/>
        <v>0min 5sec</v>
      </c>
      <c r="H68" s="123" t="str">
        <f t="shared" si="42"/>
        <v>0min 47sec</v>
      </c>
      <c r="I68" s="123" t="str">
        <f t="shared" si="42"/>
        <v>0min 14sec</v>
      </c>
      <c r="J68" s="123" t="str">
        <f t="shared" si="42"/>
        <v>0min 14sec</v>
      </c>
      <c r="K68" s="123" t="str">
        <f t="shared" si="42"/>
        <v>0min 14sec</v>
      </c>
      <c r="L68" s="123" t="str">
        <f t="shared" si="42"/>
        <v>0min 47sec</v>
      </c>
      <c r="M68" s="123" t="str">
        <f>IFERROR(TRUNC(M66-M28)&amp;"min "&amp;ROUND(((M66-M28)-TRUNC(M66-M28))*60,0)&amp;"sec",0)</f>
        <v>0min 0sec</v>
      </c>
    </row>
  </sheetData>
  <mergeCells count="1">
    <mergeCell ref="D5:E5"/>
  </mergeCells>
  <conditionalFormatting sqref="D31:M31">
    <cfRule type="cellIs" dxfId="23" priority="29" operator="greaterThanOrEqual">
      <formula>0.49</formula>
    </cfRule>
    <cfRule type="cellIs" dxfId="22" priority="31" operator="greaterThan">
      <formula>1</formula>
    </cfRule>
  </conditionalFormatting>
  <conditionalFormatting sqref="D15:M15">
    <cfRule type="cellIs" dxfId="21" priority="21" stopIfTrue="1" operator="greaterThan">
      <formula>5</formula>
    </cfRule>
  </conditionalFormatting>
  <conditionalFormatting sqref="D22:M22">
    <cfRule type="cellIs" dxfId="20" priority="28" stopIfTrue="1" operator="greaterThan">
      <formula>5</formula>
    </cfRule>
  </conditionalFormatting>
  <conditionalFormatting sqref="D34:M34 D36:M38">
    <cfRule type="cellIs" dxfId="19" priority="27" stopIfTrue="1" operator="greaterThan">
      <formula>5</formula>
    </cfRule>
  </conditionalFormatting>
  <conditionalFormatting sqref="D19:M19">
    <cfRule type="cellIs" dxfId="18" priority="30" operator="greaterThanOrEqual">
      <formula>0.49</formula>
    </cfRule>
    <cfRule type="cellIs" dxfId="17" priority="32" operator="greaterThan">
      <formula>1</formula>
    </cfRule>
  </conditionalFormatting>
  <conditionalFormatting sqref="D16:M16">
    <cfRule type="cellIs" dxfId="16" priority="26" stopIfTrue="1" operator="greaterThan">
      <formula>2.9</formula>
    </cfRule>
  </conditionalFormatting>
  <conditionalFormatting sqref="D17">
    <cfRule type="expression" dxfId="15" priority="25" stopIfTrue="1">
      <formula>D$16&gt;2.9</formula>
    </cfRule>
  </conditionalFormatting>
  <conditionalFormatting sqref="E17:M17">
    <cfRule type="expression" dxfId="14" priority="24" stopIfTrue="1">
      <formula>E$16&gt;2.9</formula>
    </cfRule>
  </conditionalFormatting>
  <conditionalFormatting sqref="D28:M28">
    <cfRule type="cellIs" dxfId="13" priority="23" stopIfTrue="1" operator="greaterThan">
      <formula>2.9</formula>
    </cfRule>
  </conditionalFormatting>
  <conditionalFormatting sqref="D29:M29">
    <cfRule type="expression" dxfId="12" priority="22" stopIfTrue="1">
      <formula>D$28&gt;2.9</formula>
    </cfRule>
  </conditionalFormatting>
  <conditionalFormatting sqref="D27:M27">
    <cfRule type="cellIs" dxfId="11" priority="20" stopIfTrue="1" operator="greaterThan">
      <formula>5</formula>
    </cfRule>
  </conditionalFormatting>
  <conditionalFormatting sqref="D39">
    <cfRule type="expression" dxfId="10" priority="10">
      <formula>IF(AND(D45&lt;1,E45&lt;1,F45&lt;1,G45&lt;1,H45&lt;1,I45&lt;1,J45&lt;1,K45&lt;1,L45&lt;1,M45&lt;1),FALSE,TRUE)</formula>
    </cfRule>
    <cfRule type="expression" dxfId="9" priority="11">
      <formula>AND(D45&lt;1,E45&lt;1,F45&lt;1,G45&lt;1,H45&lt;1,I45,1,J45,1,K45&lt;1,L45&lt;1,M45)</formula>
    </cfRule>
  </conditionalFormatting>
  <conditionalFormatting sqref="D45:M45">
    <cfRule type="cellIs" dxfId="8" priority="9" operator="greaterThan">
      <formula>0.99</formula>
    </cfRule>
  </conditionalFormatting>
  <conditionalFormatting sqref="D53:M53">
    <cfRule type="expression" dxfId="7" priority="8">
      <formula>(D$51-D$16)&gt;1</formula>
    </cfRule>
  </conditionalFormatting>
  <conditionalFormatting sqref="D54">
    <cfRule type="expression" dxfId="6" priority="6">
      <formula>IF(AND(D60&lt;1,E60&lt;1,F60&lt;1,G60&lt;1,H60&lt;1,I60&lt;1,J60&lt;1,K60&lt;1,L60&lt;1,M60&lt;1),FALSE,TRUE)</formula>
    </cfRule>
    <cfRule type="expression" dxfId="5" priority="7">
      <formula>AND(D60&lt;1,E60&lt;1,F60&lt;1,G60&lt;1,H60&lt;1,I60&lt;1,J60&lt;1,K60&lt;1,L60&lt;1,M60&lt;1)</formula>
    </cfRule>
  </conditionalFormatting>
  <conditionalFormatting sqref="D68:M68">
    <cfRule type="expression" dxfId="4" priority="5">
      <formula>(D$66-D$28)&gt;1</formula>
    </cfRule>
  </conditionalFormatting>
  <conditionalFormatting sqref="D23">
    <cfRule type="expression" dxfId="3" priority="4" stopIfTrue="1">
      <formula>D$16&gt;2.9</formula>
    </cfRule>
  </conditionalFormatting>
  <conditionalFormatting sqref="E23:M23">
    <cfRule type="expression" dxfId="2" priority="3" stopIfTrue="1">
      <formula>E$16&gt;2.9</formula>
    </cfRule>
  </conditionalFormatting>
  <conditionalFormatting sqref="D35">
    <cfRule type="expression" dxfId="1" priority="2" stopIfTrue="1">
      <formula>D$16&gt;2.9</formula>
    </cfRule>
  </conditionalFormatting>
  <conditionalFormatting sqref="E35:M35">
    <cfRule type="expression" dxfId="0" priority="1" stopIfTrue="1">
      <formula>E$16&gt;2.9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Centralized_CheckIn</vt:lpstr>
      <vt:lpstr>Semi_Centralized_CheckIn</vt:lpstr>
      <vt:lpstr>Floor1_CheckIn</vt:lpstr>
      <vt:lpstr>Floor2_CheckIn</vt:lpstr>
      <vt:lpstr>Floor3_CheckIn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Anthony.Parr@healthcarepartners.com</dc:creator>
  <cp:lastModifiedBy>Anthony Parr</cp:lastModifiedBy>
  <cp:lastPrinted>2004-01-24T20:39:14Z</cp:lastPrinted>
  <dcterms:created xsi:type="dcterms:W3CDTF">1996-11-13T20:34:41Z</dcterms:created>
  <dcterms:modified xsi:type="dcterms:W3CDTF">2019-07-16T17:52:02Z</dcterms:modified>
</cp:coreProperties>
</file>